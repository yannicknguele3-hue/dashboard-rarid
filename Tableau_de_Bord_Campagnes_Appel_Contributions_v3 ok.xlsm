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APIDE COMPUTER\Documents\Fondation Valsten\Gestion_Auteurs\"/>
    </mc:Choice>
  </mc:AlternateContent>
  <xr:revisionPtr revIDLastSave="0" documentId="13_ncr:1_{90C23293-D550-4534-82AE-6CA294091451}" xr6:coauthVersionLast="47" xr6:coauthVersionMax="47" xr10:uidLastSave="{00000000-0000-0000-0000-000000000000}"/>
  <bookViews>
    <workbookView xWindow="-120" yWindow="-120" windowWidth="19440" windowHeight="15600" firstSheet="7" activeTab="7" xr2:uid="{00000000-000D-0000-FFFF-FFFF00000000}"/>
  </bookViews>
  <sheets>
    <sheet name="Parametres" sheetId="1" state="hidden" r:id="rId1"/>
    <sheet name="Modele_Campagne" sheetId="2" state="hidden" r:id="rId2"/>
    <sheet name="Campagne_Exemple" sheetId="3" state="hidden" r:id="rId3"/>
    <sheet name="Campagne de Rose" sheetId="4" state="hidden" r:id="rId4"/>
    <sheet name="Tâches déjà effectuées" sheetId="5" state="hidden" r:id="rId5"/>
    <sheet name="Tâches restantes" sheetId="6" state="hidden" r:id="rId6"/>
    <sheet name="Dashboard" sheetId="18" state="hidden" r:id="rId7"/>
    <sheet name="Campagne de Yannick" sheetId="20" r:id="rId8"/>
    <sheet name="Dashboard_Rose" sheetId="22" state="hidden" r:id="rId9"/>
    <sheet name="Dashboard_Yannick" sheetId="23" r:id="rId10"/>
    <sheet name="Archives_Rose" sheetId="24" state="hidden" r:id="rId11"/>
    <sheet name="Archives_Yannick" sheetId="25" r:id="rId12"/>
  </sheets>
  <definedNames>
    <definedName name="_xlnm._FilterDatabase" localSheetId="3" hidden="1">'Campagne de Rose'!$B$7:$L$199</definedName>
    <definedName name="_xlnm._FilterDatabase" localSheetId="7" hidden="1">'Campagne de Yannick'!$B$7:$L$204</definedName>
    <definedName name="_xlnm.Criteria" localSheetId="3">'Campagne de Rose'!$Z$1:$AA$3</definedName>
    <definedName name="_xlnm.Criteria" localSheetId="7">'Campagne de Yannick'!$Z$1:$AA$3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20" l="1"/>
  <c r="N10" i="20"/>
  <c r="C18" i="23"/>
  <c r="C17" i="23"/>
  <c r="C16" i="23"/>
  <c r="C19" i="23" s="1"/>
  <c r="C13" i="23"/>
  <c r="C12" i="23"/>
  <c r="C11" i="23"/>
  <c r="C10" i="23"/>
  <c r="C9" i="23"/>
  <c r="H5" i="23"/>
  <c r="B5" i="23"/>
  <c r="C17" i="22"/>
  <c r="C13" i="22"/>
  <c r="C12" i="22"/>
  <c r="C11" i="22"/>
  <c r="C10" i="22"/>
  <c r="C9" i="22"/>
  <c r="H5" i="22"/>
  <c r="B5" i="22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Q9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Q102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147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192" i="20"/>
  <c r="Q193" i="20"/>
  <c r="Q194" i="20"/>
  <c r="Q195" i="20"/>
  <c r="Q196" i="20"/>
  <c r="Q197" i="20"/>
  <c r="Q198" i="20"/>
  <c r="Q199" i="20"/>
  <c r="Q200" i="20"/>
  <c r="Q201" i="20"/>
  <c r="Q202" i="20"/>
  <c r="Q203" i="20"/>
  <c r="Q204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P187" i="20"/>
  <c r="P186" i="20"/>
  <c r="P185" i="20"/>
  <c r="P184" i="20"/>
  <c r="P183" i="20"/>
  <c r="P182" i="20"/>
  <c r="P181" i="20"/>
  <c r="P180" i="20"/>
  <c r="P179" i="20"/>
  <c r="P178" i="20"/>
  <c r="P177" i="20"/>
  <c r="P176" i="20"/>
  <c r="P175" i="20"/>
  <c r="P174" i="20"/>
  <c r="P173" i="20"/>
  <c r="P172" i="20"/>
  <c r="P171" i="20"/>
  <c r="P170" i="20"/>
  <c r="P169" i="20"/>
  <c r="P168" i="20"/>
  <c r="P167" i="20"/>
  <c r="P166" i="20"/>
  <c r="P165" i="20"/>
  <c r="P164" i="20"/>
  <c r="P163" i="20"/>
  <c r="P162" i="20"/>
  <c r="P161" i="20"/>
  <c r="P160" i="20"/>
  <c r="P159" i="20"/>
  <c r="P158" i="20"/>
  <c r="P157" i="20"/>
  <c r="P156" i="20"/>
  <c r="P155" i="20"/>
  <c r="P154" i="20"/>
  <c r="P153" i="20"/>
  <c r="P152" i="20"/>
  <c r="P151" i="20"/>
  <c r="P150" i="20"/>
  <c r="P149" i="20"/>
  <c r="P148" i="20"/>
  <c r="P147" i="20"/>
  <c r="P146" i="20"/>
  <c r="P145" i="20"/>
  <c r="P144" i="20"/>
  <c r="P143" i="20"/>
  <c r="P142" i="20"/>
  <c r="P141" i="20"/>
  <c r="P140" i="20"/>
  <c r="P139" i="20"/>
  <c r="P138" i="20"/>
  <c r="P137" i="20"/>
  <c r="P136" i="20"/>
  <c r="P135" i="20"/>
  <c r="P134" i="20"/>
  <c r="P133" i="20"/>
  <c r="P132" i="20"/>
  <c r="P131" i="20"/>
  <c r="P130" i="20"/>
  <c r="P129" i="20"/>
  <c r="P128" i="20"/>
  <c r="P127" i="20"/>
  <c r="P126" i="20"/>
  <c r="P125" i="20"/>
  <c r="P124" i="20"/>
  <c r="P123" i="20"/>
  <c r="P122" i="20"/>
  <c r="P121" i="20"/>
  <c r="P120" i="20"/>
  <c r="P119" i="20"/>
  <c r="P118" i="20"/>
  <c r="P117" i="20"/>
  <c r="P116" i="20"/>
  <c r="P115" i="20"/>
  <c r="P114" i="20"/>
  <c r="P113" i="20"/>
  <c r="P112" i="20"/>
  <c r="P111" i="20"/>
  <c r="P110" i="20"/>
  <c r="P109" i="20"/>
  <c r="P108" i="20"/>
  <c r="P107" i="20"/>
  <c r="P106" i="20"/>
  <c r="P105" i="20"/>
  <c r="P104" i="20"/>
  <c r="P103" i="20"/>
  <c r="P102" i="20"/>
  <c r="P101" i="20"/>
  <c r="P100" i="20"/>
  <c r="P99" i="20"/>
  <c r="P98" i="20"/>
  <c r="P97" i="20"/>
  <c r="P96" i="20"/>
  <c r="P95" i="20"/>
  <c r="P94" i="20"/>
  <c r="P93" i="20"/>
  <c r="P92" i="20"/>
  <c r="P91" i="20"/>
  <c r="P90" i="20"/>
  <c r="P89" i="20"/>
  <c r="P88" i="20"/>
  <c r="P87" i="20"/>
  <c r="P86" i="20"/>
  <c r="P85" i="20"/>
  <c r="P84" i="20"/>
  <c r="P83" i="20"/>
  <c r="P82" i="20"/>
  <c r="P81" i="20"/>
  <c r="P80" i="20"/>
  <c r="P79" i="20"/>
  <c r="P78" i="20"/>
  <c r="P77" i="20"/>
  <c r="P76" i="20"/>
  <c r="P75" i="20"/>
  <c r="P74" i="20"/>
  <c r="P73" i="20"/>
  <c r="P72" i="20"/>
  <c r="P71" i="20"/>
  <c r="P70" i="20"/>
  <c r="P69" i="20"/>
  <c r="P68" i="20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Q51" i="20"/>
  <c r="P51" i="20"/>
  <c r="Q50" i="20"/>
  <c r="P50" i="20"/>
  <c r="Q49" i="20"/>
  <c r="P49" i="20"/>
  <c r="Q48" i="20"/>
  <c r="P48" i="20"/>
  <c r="Q47" i="20"/>
  <c r="P47" i="20"/>
  <c r="Q46" i="20"/>
  <c r="P46" i="20"/>
  <c r="Q45" i="20"/>
  <c r="P45" i="20"/>
  <c r="Q44" i="20"/>
  <c r="P44" i="20"/>
  <c r="Q43" i="20"/>
  <c r="P43" i="20"/>
  <c r="Q42" i="20"/>
  <c r="P42" i="20"/>
  <c r="Q41" i="20"/>
  <c r="P41" i="20"/>
  <c r="N41" i="20"/>
  <c r="Q40" i="20"/>
  <c r="P40" i="20"/>
  <c r="N40" i="20"/>
  <c r="Q39" i="20"/>
  <c r="P39" i="20"/>
  <c r="N39" i="20"/>
  <c r="Q38" i="20"/>
  <c r="P38" i="20"/>
  <c r="N38" i="20"/>
  <c r="Q37" i="20"/>
  <c r="P37" i="20"/>
  <c r="N37" i="20"/>
  <c r="Q36" i="20"/>
  <c r="P36" i="20"/>
  <c r="N36" i="20"/>
  <c r="Q35" i="20"/>
  <c r="P35" i="20"/>
  <c r="N35" i="20"/>
  <c r="Q34" i="20"/>
  <c r="P34" i="20"/>
  <c r="N34" i="20"/>
  <c r="Q33" i="20"/>
  <c r="P33" i="20"/>
  <c r="N33" i="20"/>
  <c r="Q32" i="20"/>
  <c r="P32" i="20"/>
  <c r="N32" i="20"/>
  <c r="Q31" i="20"/>
  <c r="P31" i="20"/>
  <c r="N31" i="20"/>
  <c r="Q30" i="20"/>
  <c r="P30" i="20"/>
  <c r="N30" i="20"/>
  <c r="P29" i="20"/>
  <c r="Q29" i="20" s="1"/>
  <c r="N29" i="20"/>
  <c r="P28" i="20"/>
  <c r="Q28" i="20" s="1"/>
  <c r="N28" i="20"/>
  <c r="P27" i="20"/>
  <c r="Q27" i="20" s="1"/>
  <c r="N27" i="20"/>
  <c r="P26" i="20"/>
  <c r="Q26" i="20" s="1"/>
  <c r="N26" i="20"/>
  <c r="P25" i="20"/>
  <c r="Q25" i="20" s="1"/>
  <c r="N25" i="20"/>
  <c r="P24" i="20"/>
  <c r="Q24" i="20" s="1"/>
  <c r="N24" i="20"/>
  <c r="P23" i="20"/>
  <c r="Q23" i="20" s="1"/>
  <c r="N23" i="20"/>
  <c r="P22" i="20"/>
  <c r="Q22" i="20" s="1"/>
  <c r="N22" i="20"/>
  <c r="P21" i="20"/>
  <c r="Q21" i="20" s="1"/>
  <c r="N21" i="20"/>
  <c r="P20" i="20"/>
  <c r="Q20" i="20" s="1"/>
  <c r="N20" i="20"/>
  <c r="P19" i="20"/>
  <c r="Q19" i="20" s="1"/>
  <c r="N19" i="20"/>
  <c r="P18" i="20"/>
  <c r="Q18" i="20" s="1"/>
  <c r="N18" i="20"/>
  <c r="P17" i="20"/>
  <c r="Q17" i="20" s="1"/>
  <c r="N17" i="20"/>
  <c r="P16" i="20"/>
  <c r="Q16" i="20" s="1"/>
  <c r="N16" i="20"/>
  <c r="Q15" i="20"/>
  <c r="P15" i="20"/>
  <c r="N15" i="20"/>
  <c r="P14" i="20"/>
  <c r="Q14" i="20" s="1"/>
  <c r="N14" i="20"/>
  <c r="P13" i="20"/>
  <c r="Q13" i="20" s="1"/>
  <c r="N13" i="20"/>
  <c r="P12" i="20"/>
  <c r="Q12" i="20" s="1"/>
  <c r="N12" i="20"/>
  <c r="P11" i="20"/>
  <c r="Q11" i="20" s="1"/>
  <c r="N11" i="20"/>
  <c r="P10" i="20"/>
  <c r="Q10" i="20" s="1"/>
  <c r="P9" i="20"/>
  <c r="P8" i="20"/>
  <c r="Q8" i="20" s="1"/>
  <c r="D8" i="20"/>
  <c r="K5" i="20"/>
  <c r="H5" i="20"/>
  <c r="A5" i="20"/>
  <c r="C17" i="18"/>
  <c r="C13" i="18"/>
  <c r="C12" i="18"/>
  <c r="C11" i="18"/>
  <c r="C10" i="18"/>
  <c r="C9" i="18"/>
  <c r="H5" i="18"/>
  <c r="B5" i="18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M50" i="3"/>
  <c r="L50" i="3"/>
  <c r="M49" i="3"/>
  <c r="L49" i="3"/>
  <c r="M48" i="3"/>
  <c r="L48" i="3"/>
  <c r="M47" i="3"/>
  <c r="L47" i="3"/>
  <c r="M46" i="3"/>
  <c r="L46" i="3"/>
  <c r="M45" i="3"/>
  <c r="L45" i="3"/>
  <c r="M44" i="3"/>
  <c r="L44" i="3"/>
  <c r="M43" i="3"/>
  <c r="L43" i="3"/>
  <c r="M42" i="3"/>
  <c r="L42" i="3"/>
  <c r="M41" i="3"/>
  <c r="L41" i="3"/>
  <c r="M40" i="3"/>
  <c r="L40" i="3"/>
  <c r="M39" i="3"/>
  <c r="L39" i="3"/>
  <c r="M38" i="3"/>
  <c r="L38" i="3"/>
  <c r="M37" i="3"/>
  <c r="L37" i="3"/>
  <c r="M36" i="3"/>
  <c r="L36" i="3"/>
  <c r="M35" i="3"/>
  <c r="L35" i="3"/>
  <c r="M34" i="3"/>
  <c r="L34" i="3"/>
  <c r="M33" i="3"/>
  <c r="L33" i="3"/>
  <c r="M32" i="3"/>
  <c r="L32" i="3"/>
  <c r="M31" i="3"/>
  <c r="L31" i="3"/>
  <c r="M30" i="3"/>
  <c r="L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M22" i="3"/>
  <c r="L22" i="3"/>
  <c r="M21" i="3"/>
  <c r="L21" i="3"/>
  <c r="M20" i="3"/>
  <c r="L20" i="3"/>
  <c r="M19" i="3"/>
  <c r="L19" i="3"/>
  <c r="M18" i="3"/>
  <c r="L18" i="3"/>
  <c r="M17" i="3"/>
  <c r="L17" i="3"/>
  <c r="M16" i="3"/>
  <c r="L16" i="3"/>
  <c r="M15" i="3"/>
  <c r="L15" i="3"/>
  <c r="M14" i="3"/>
  <c r="L14" i="3"/>
  <c r="M13" i="3"/>
  <c r="L13" i="3"/>
  <c r="M12" i="3"/>
  <c r="L12" i="3"/>
  <c r="M11" i="3"/>
  <c r="L11" i="3"/>
  <c r="M10" i="3"/>
  <c r="L10" i="3"/>
  <c r="M9" i="3"/>
  <c r="L9" i="3"/>
  <c r="M8" i="3"/>
  <c r="L8" i="3"/>
  <c r="D8" i="4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C5" i="3"/>
  <c r="E5" i="3"/>
  <c r="G5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Q15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P29" i="3"/>
  <c r="Q29" i="3" s="1"/>
  <c r="P28" i="3"/>
  <c r="Q28" i="3" s="1"/>
  <c r="P27" i="3"/>
  <c r="Q27" i="3" s="1"/>
  <c r="P26" i="3"/>
  <c r="Q26" i="3" s="1"/>
  <c r="P25" i="3"/>
  <c r="Q25" i="3" s="1"/>
  <c r="P24" i="3"/>
  <c r="Q24" i="3" s="1"/>
  <c r="P23" i="3"/>
  <c r="Q23" i="3" s="1"/>
  <c r="P22" i="3"/>
  <c r="Q22" i="3" s="1"/>
  <c r="P21" i="3"/>
  <c r="Q21" i="3" s="1"/>
  <c r="P20" i="3"/>
  <c r="Q20" i="3" s="1"/>
  <c r="P19" i="3"/>
  <c r="Q19" i="3" s="1"/>
  <c r="P18" i="3"/>
  <c r="Q18" i="3" s="1"/>
  <c r="P17" i="3"/>
  <c r="Q17" i="3" s="1"/>
  <c r="P16" i="3"/>
  <c r="Q16" i="3" s="1"/>
  <c r="P15" i="3"/>
  <c r="P14" i="3"/>
  <c r="Q14" i="3" s="1"/>
  <c r="P13" i="3"/>
  <c r="Q13" i="3" s="1"/>
  <c r="P12" i="3"/>
  <c r="Q12" i="3" s="1"/>
  <c r="P11" i="3"/>
  <c r="Q11" i="3" s="1"/>
  <c r="P10" i="3"/>
  <c r="Q10" i="3" s="1"/>
  <c r="P9" i="3"/>
  <c r="Q9" i="3" s="1"/>
  <c r="P8" i="3"/>
  <c r="Q8" i="3" s="1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P25" i="4"/>
  <c r="Q25" i="4" s="1"/>
  <c r="P26" i="4"/>
  <c r="Q26" i="4" s="1"/>
  <c r="P27" i="4"/>
  <c r="Q27" i="4" s="1"/>
  <c r="P28" i="4"/>
  <c r="Q28" i="4" s="1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L26" i="4"/>
  <c r="N26" i="4" s="1"/>
  <c r="L27" i="4"/>
  <c r="N27" i="4" s="1"/>
  <c r="D26" i="4"/>
  <c r="D2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8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Q14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C16" i="22" l="1"/>
  <c r="C19" i="22" s="1"/>
  <c r="D5" i="23"/>
  <c r="F5" i="23"/>
  <c r="F5" i="22"/>
  <c r="D5" i="22"/>
  <c r="O5" i="20"/>
  <c r="M5" i="20"/>
  <c r="C16" i="18"/>
  <c r="C19" i="18"/>
  <c r="F5" i="18"/>
  <c r="D5" i="18"/>
  <c r="Q16" i="4"/>
  <c r="Q17" i="4"/>
  <c r="Q18" i="4"/>
  <c r="Q19" i="4"/>
  <c r="Q20" i="4"/>
  <c r="Q21" i="4"/>
  <c r="Q22" i="4"/>
  <c r="Q23" i="4"/>
  <c r="Q24" i="4"/>
  <c r="Q8" i="4"/>
  <c r="Q9" i="4"/>
  <c r="Q10" i="4"/>
  <c r="Q11" i="4"/>
  <c r="Q12" i="4"/>
  <c r="Q13" i="4"/>
  <c r="O8" i="2"/>
  <c r="Q15" i="4" l="1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C18" i="22" s="1"/>
  <c r="K5" i="4"/>
  <c r="A5" i="4"/>
  <c r="A5" i="3"/>
  <c r="M27" i="2"/>
  <c r="L27" i="2"/>
  <c r="J27" i="2"/>
  <c r="M26" i="2"/>
  <c r="L26" i="2"/>
  <c r="J26" i="2"/>
  <c r="M25" i="2"/>
  <c r="L25" i="2"/>
  <c r="J25" i="2"/>
  <c r="M24" i="2"/>
  <c r="L24" i="2"/>
  <c r="J24" i="2"/>
  <c r="M23" i="2"/>
  <c r="L23" i="2"/>
  <c r="J23" i="2"/>
  <c r="M22" i="2"/>
  <c r="L22" i="2"/>
  <c r="J22" i="2"/>
  <c r="M21" i="2"/>
  <c r="L21" i="2"/>
  <c r="J21" i="2"/>
  <c r="M20" i="2"/>
  <c r="L20" i="2"/>
  <c r="J20" i="2"/>
  <c r="M19" i="2"/>
  <c r="L19" i="2"/>
  <c r="J19" i="2"/>
  <c r="M18" i="2"/>
  <c r="L18" i="2"/>
  <c r="J18" i="2"/>
  <c r="M17" i="2"/>
  <c r="L17" i="2"/>
  <c r="J17" i="2"/>
  <c r="M16" i="2"/>
  <c r="L16" i="2"/>
  <c r="J16" i="2"/>
  <c r="M15" i="2"/>
  <c r="L15" i="2"/>
  <c r="J15" i="2"/>
  <c r="M14" i="2"/>
  <c r="L14" i="2"/>
  <c r="J14" i="2"/>
  <c r="M13" i="2"/>
  <c r="L13" i="2"/>
  <c r="J13" i="2"/>
  <c r="M12" i="2"/>
  <c r="L12" i="2"/>
  <c r="J12" i="2"/>
  <c r="M11" i="2"/>
  <c r="L11" i="2"/>
  <c r="J11" i="2"/>
  <c r="M10" i="2"/>
  <c r="L10" i="2"/>
  <c r="J10" i="2"/>
  <c r="M9" i="2"/>
  <c r="L9" i="2"/>
  <c r="J9" i="2"/>
  <c r="M8" i="2"/>
  <c r="L8" i="2"/>
  <c r="J8" i="2"/>
  <c r="G5" i="2"/>
  <c r="E5" i="2"/>
  <c r="C5" i="2"/>
  <c r="I5" i="2" s="1"/>
  <c r="A5" i="2"/>
  <c r="C18" i="18" l="1"/>
  <c r="H5" i="4"/>
  <c r="I5" i="3"/>
  <c r="O5" i="4" l="1"/>
  <c r="M5" i="4"/>
</calcChain>
</file>

<file path=xl/sharedStrings.xml><?xml version="1.0" encoding="utf-8"?>
<sst xmlns="http://schemas.openxmlformats.org/spreadsheetml/2006/main" count="482" uniqueCount="182">
  <si>
    <t>Pays Africains</t>
  </si>
  <si>
    <t>Afrique du Sud</t>
  </si>
  <si>
    <t>Algérie</t>
  </si>
  <si>
    <t>Angola</t>
  </si>
  <si>
    <t>Bénin</t>
  </si>
  <si>
    <t>Botswana</t>
  </si>
  <si>
    <t>Burkina Faso</t>
  </si>
  <si>
    <t>Burundi</t>
  </si>
  <si>
    <t>Cabo Verde</t>
  </si>
  <si>
    <t>Cameroun</t>
  </si>
  <si>
    <t>Comores</t>
  </si>
  <si>
    <t>Congo (Brazzaville)</t>
  </si>
  <si>
    <t>Congo (RDC)</t>
  </si>
  <si>
    <t>Côte d'Ivoire</t>
  </si>
  <si>
    <t>Djibouti</t>
  </si>
  <si>
    <t>Égypte</t>
  </si>
  <si>
    <t>Érythrée</t>
  </si>
  <si>
    <t>Eswatini</t>
  </si>
  <si>
    <t>Éthiopie</t>
  </si>
  <si>
    <t>Gabon</t>
  </si>
  <si>
    <t>Gambie</t>
  </si>
  <si>
    <t>Ghana</t>
  </si>
  <si>
    <t>Guinée</t>
  </si>
  <si>
    <t>Guinée équatoriale</t>
  </si>
  <si>
    <t>Guinée-Bissau</t>
  </si>
  <si>
    <t>Kenya</t>
  </si>
  <si>
    <t>Lesotho</t>
  </si>
  <si>
    <t>Libéria</t>
  </si>
  <si>
    <t>Libye</t>
  </si>
  <si>
    <t>Madagascar</t>
  </si>
  <si>
    <t>Malawi</t>
  </si>
  <si>
    <t>Mali</t>
  </si>
  <si>
    <t>Maroc</t>
  </si>
  <si>
    <t>Maurice</t>
  </si>
  <si>
    <t>Mauritanie</t>
  </si>
  <si>
    <t>Mozambique</t>
  </si>
  <si>
    <t>Namibie</t>
  </si>
  <si>
    <t>Niger</t>
  </si>
  <si>
    <t>Négéria</t>
  </si>
  <si>
    <t>Ouganda</t>
  </si>
  <si>
    <t>Rwanda</t>
  </si>
  <si>
    <t>Sainte-Hélène</t>
  </si>
  <si>
    <t>São Tomé-et-Príncipe</t>
  </si>
  <si>
    <t>Sénégal</t>
  </si>
  <si>
    <t>Seychelles</t>
  </si>
  <si>
    <t>Sierra Leone</t>
  </si>
  <si>
    <t>Somalie</t>
  </si>
  <si>
    <t>Soudan</t>
  </si>
  <si>
    <t>Soudan du Sud</t>
  </si>
  <si>
    <t>Tanzanie</t>
  </si>
  <si>
    <t>Tchad</t>
  </si>
  <si>
    <t>Togo</t>
  </si>
  <si>
    <t>Tunisie</t>
  </si>
  <si>
    <t>Zambie</t>
  </si>
  <si>
    <t>Zimbabwe</t>
  </si>
  <si>
    <t>TABLEAU DE BORD - MODELE CAMPAGNE</t>
  </si>
  <si>
    <t>Suivi des contributions, de l'avancement des articles, des paiements et relances WhatsApp</t>
  </si>
  <si>
    <t>TOTAL CONTRIBUTEURS</t>
  </si>
  <si>
    <t>MONTANT TOTAL À PAYER</t>
  </si>
  <si>
    <t>TOTAL ENCAISSÉ</t>
  </si>
  <si>
    <t>SOLDE RESTANT DÛ</t>
  </si>
  <si>
    <t>TAUX DE RECOUVREMENT</t>
  </si>
  <si>
    <t>Nom &amp; Prénom</t>
  </si>
  <si>
    <t>Numéro WhatsApp</t>
  </si>
  <si>
    <t>Nationalité</t>
  </si>
  <si>
    <t>Nom de l'Article</t>
  </si>
  <si>
    <t>Évolution</t>
  </si>
  <si>
    <t>Tâches Effectuées</t>
  </si>
  <si>
    <t>Tâches à Effectuer</t>
  </si>
  <si>
    <t>Montant à Payer</t>
  </si>
  <si>
    <t>Montant Payé</t>
  </si>
  <si>
    <t>Solde Restant</t>
  </si>
  <si>
    <t>Dépôt Légal</t>
  </si>
  <si>
    <t>Message Personnalisé</t>
  </si>
  <si>
    <t>Action WhatsApp</t>
  </si>
  <si>
    <t>TABLEAU DE BORD - CAMPAGNE EXEMPLE</t>
  </si>
  <si>
    <t>75% - En révision</t>
  </si>
  <si>
    <t>100% - Terminé</t>
  </si>
  <si>
    <t>25% - En rédaction</t>
  </si>
  <si>
    <t>50% - Relecture</t>
  </si>
  <si>
    <t>0% - Non débuté</t>
  </si>
  <si>
    <t>UBI CARITAS</t>
  </si>
  <si>
    <t>NKOUAGA</t>
  </si>
  <si>
    <t>Site web envoyé</t>
  </si>
  <si>
    <t>LONGO Paulin</t>
  </si>
  <si>
    <t>243812222661</t>
  </si>
  <si>
    <t>243993418035</t>
  </si>
  <si>
    <t>Daniel TARDOLEMBAYE</t>
  </si>
  <si>
    <t>23568774955</t>
  </si>
  <si>
    <t>Rahan BWANGA</t>
  </si>
  <si>
    <t>243992236994</t>
  </si>
  <si>
    <t>AEK Y</t>
  </si>
  <si>
    <t>213669177515</t>
  </si>
  <si>
    <t>NDEKO Astère</t>
  </si>
  <si>
    <t>Pasteur Ali</t>
  </si>
  <si>
    <t>23562436657</t>
  </si>
  <si>
    <t>ISSEA</t>
  </si>
  <si>
    <t>22897057816</t>
  </si>
  <si>
    <t>MOI</t>
  </si>
  <si>
    <t>243999909381</t>
  </si>
  <si>
    <t>LELO</t>
  </si>
  <si>
    <t>243893277916</t>
  </si>
  <si>
    <t>EVOUNA MFOMO</t>
  </si>
  <si>
    <t>670506511</t>
  </si>
  <si>
    <t>NGANKOU</t>
  </si>
  <si>
    <t>655225252</t>
  </si>
  <si>
    <t>GRAND PÈRE</t>
  </si>
  <si>
    <t>243811950687</t>
  </si>
  <si>
    <t>TWITE KOY</t>
  </si>
  <si>
    <t>243842457584</t>
  </si>
  <si>
    <t>ABROUK Nadia</t>
  </si>
  <si>
    <t>213660089033</t>
  </si>
  <si>
    <t>HERITIER</t>
  </si>
  <si>
    <t>243817856572</t>
  </si>
  <si>
    <t>Déjà relancé sans suite</t>
  </si>
  <si>
    <t>Dr LINGILI MONGA DONU Richard</t>
  </si>
  <si>
    <t>243813697976</t>
  </si>
  <si>
    <t>CR déjà envoyé</t>
  </si>
  <si>
    <t>SEVERIN Sahel</t>
  </si>
  <si>
    <t>651532468</t>
  </si>
  <si>
    <t>Tâches déjà effectuées</t>
  </si>
  <si>
    <t>Aucune action</t>
  </si>
  <si>
    <t>Site web envoyé - Aucune réaction</t>
  </si>
  <si>
    <t>Premier contact effectué</t>
  </si>
  <si>
    <t>Tâches restantes</t>
  </si>
  <si>
    <t>Envoyer le lien du site web</t>
  </si>
  <si>
    <t>Effectuer la relance à J-7</t>
  </si>
  <si>
    <t>Vérifier la réception de l'article</t>
  </si>
  <si>
    <t>Transmettre le guide aux auteurs</t>
  </si>
  <si>
    <t>Rien à faire (En attente de l'auteur)</t>
  </si>
  <si>
    <t>Deadline</t>
  </si>
  <si>
    <t>Priorité</t>
  </si>
  <si>
    <t>Nbre de relances</t>
  </si>
  <si>
    <t>Dernière relance</t>
  </si>
  <si>
    <t>22/082026</t>
  </si>
  <si>
    <t>1</t>
  </si>
  <si>
    <t>22/08/206</t>
  </si>
  <si>
    <t>14/09/2026</t>
  </si>
  <si>
    <t>Relance sur whatsapp</t>
  </si>
  <si>
    <t>Relance par mail</t>
  </si>
  <si>
    <t>Rappel téléphonique (Urgent)</t>
  </si>
  <si>
    <t>Transmettre au comité d'édition</t>
  </si>
  <si>
    <t>Guide &amp; Lien du site envoyés</t>
  </si>
  <si>
    <t>Site web envoyé - En attente de décision</t>
  </si>
  <si>
    <t>Promesse d'envoi par l'auteur</t>
  </si>
  <si>
    <t>Première relance effectuée</t>
  </si>
  <si>
    <t>Deuxième relance effectuée</t>
  </si>
  <si>
    <t>Rappel téléphonique effectué</t>
  </si>
  <si>
    <t>Article / Manuscrit reçu</t>
  </si>
  <si>
    <t>En attente d'indexation</t>
  </si>
  <si>
    <t>Exposition des aliments prêts à manger aux risques environnementaux à Kinshasa (RP Ngaba) : épidémiologie des maladies transmissibles apports nutritionnels altérés et recommandation du PRONANUT;</t>
  </si>
  <si>
    <t xml:space="preserve"> L'impact de la bonne nutrition sur les rendements scolaires des enfants des écoles</t>
  </si>
  <si>
    <t xml:space="preserve"> L'émergence des maladies métaboliques et les déterminants qui freinent le développement d'une communauté: cas de la province de MONGALA en RDC</t>
  </si>
  <si>
    <t>TABLEAU DE BORD - SUIVI ÉDITORIAL &amp; FINANCIER</t>
  </si>
  <si>
    <t>TOTAL ARTICLES</t>
  </si>
  <si>
    <t>RELANCES URGENTES (J-0)</t>
  </si>
  <si>
    <t>RELANCES À J-7</t>
  </si>
  <si>
    <t>TOTAL ENCAISSÉ (FCFA)</t>
  </si>
  <si>
    <t>Étape / Évolution</t>
  </si>
  <si>
    <t>Nombre d'articles</t>
  </si>
  <si>
    <t>100% - Publié</t>
  </si>
  <si>
    <t>Indicateur Financier</t>
  </si>
  <si>
    <t>Montant (FCFA)</t>
  </si>
  <si>
    <t>Total Attendu</t>
  </si>
  <si>
    <t>Total Perçu</t>
  </si>
  <si>
    <t>Reste à Recouvrer</t>
  </si>
  <si>
    <t>Taux de Recouvrement</t>
  </si>
  <si>
    <t>Solde Restant2</t>
  </si>
  <si>
    <t>Dépôt Légal3</t>
  </si>
  <si>
    <t>Message Personnalisé4</t>
  </si>
  <si>
    <t>Action WhatsApp5</t>
  </si>
  <si>
    <t>10/09/2026</t>
  </si>
  <si>
    <t>KAZADI TWITE Cédric</t>
  </si>
  <si>
    <t>Intégration d'une bibliothèque numérique face à une carence d'ouvrages physiques dans la bibliothèque centrale de l'Institut supérieur pédagogique de Pweto</t>
  </si>
  <si>
    <t>Autre info</t>
  </si>
  <si>
    <t>Ok : 
mais voici le nom :
Kazadi Twite Cédric 
Assistant d'enseignement à l'Institut supérieur pédagogique de Pweto/ Haut Katanga en RD Congo.
Nationalité : congolaise 
Spécialiste en technologie de l'éducation à l'université de Lubumbashi.
Thème d'article scientifique : "  Intégration d'une bibliothèque numérique face à une carence d'ouvrages physiques dans le bibliothèque centrale de l'Institut supérieur pédagogique de Pweto "</t>
  </si>
  <si>
    <t>SAHEL Sévérin</t>
  </si>
  <si>
    <t>237651532468</t>
  </si>
  <si>
    <t>Évaluation dosimetrique des examens courants de tomodensitométrie multicoupes chez les patients adultes dans la ville de Yaoundé</t>
  </si>
  <si>
    <t>Tuberculose dans la ville de Ngaoundere Cameroun : aspects Radio-clinique et facteurs de risques associés à la tuberculose pulmonaire à l'hôpital militaire de Ngaoundere.</t>
  </si>
  <si>
    <t>TABLEAU DE BORD - CAMPAGNE DE ROSE</t>
  </si>
  <si>
    <t>TABLEAU DE BORD - CAMPAGNE DE YANNICK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</si>
</sst>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\ \F\C\F\A"/>
    <numFmt numFmtId="165" formatCode="0.0%"/>
    <numFmt numFmtId="166" formatCode="#,##0\ &quot;FCFA&quot;"/>
  </numFmts>
  <fonts count="16" x14ac:knownFonts="1">
    <font>
      <sz val="11"/>
      <color theme="1"/>
      <name val="Calibri"/>
      <family val="2"/>
      <scheme val="minor"/>
    </font>
    <font>
      <b/>
      <sz val="12"/>
      <color rgb="FFFFFFFF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6"/>
      <color rgb="FFFFFFFF"/>
      <name val="Times New Roman"/>
      <family val="1"/>
    </font>
    <font>
      <i/>
      <sz val="11"/>
      <color rgb="FFE0E0E0"/>
      <name val="Times New Roman"/>
      <family val="1"/>
    </font>
    <font>
      <b/>
      <sz val="9"/>
      <color rgb="FF595959"/>
      <name val="Times New Roman"/>
      <family val="1"/>
    </font>
    <font>
      <b/>
      <sz val="18"/>
      <color rgb="FF1F497D"/>
      <name val="Times New Roman"/>
      <family val="1"/>
    </font>
    <font>
      <b/>
      <sz val="11"/>
      <color rgb="FFFFFFFF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646464"/>
      <name val="Times New Roman"/>
      <family val="1"/>
    </font>
    <font>
      <b/>
      <sz val="18"/>
      <color rgb="FF1A73E8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5"/>
      <color rgb="FFFFFFFF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10253F"/>
        <bgColor rgb="FF10253F"/>
      </patternFill>
    </fill>
    <fill>
      <patternFill patternType="solid">
        <fgColor rgb="FFF8FAFC"/>
        <bgColor rgb="FFF8FAFC"/>
      </patternFill>
    </fill>
    <fill>
      <patternFill patternType="solid">
        <fgColor rgb="FFF2F5F9"/>
        <bgColor rgb="FFF2F5F9"/>
      </patternFill>
    </fill>
    <fill>
      <patternFill patternType="solid">
        <fgColor rgb="FF1A73E8"/>
        <bgColor indexed="64"/>
      </patternFill>
    </fill>
    <fill>
      <patternFill patternType="solid">
        <fgColor rgb="FFF0F3F6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CE6F2"/>
        <bgColor indexed="64"/>
      </patternFill>
    </fill>
  </fills>
  <borders count="9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 style="thin">
        <color rgb="FFD9D9D9"/>
      </top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43" fontId="14" fillId="0" borderId="0" applyFont="0" applyFill="0" applyBorder="0" applyAlignment="0" applyProtection="0"/>
  </cellStyleXfs>
  <cellXfs count="8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right" vertical="center"/>
    </xf>
    <xf numFmtId="0" fontId="3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 vertical="center"/>
    </xf>
    <xf numFmtId="0" fontId="3" fillId="5" borderId="3" xfId="1" applyFont="1" applyFill="1" applyBorder="1" applyAlignment="1" applyProtection="1">
      <alignment horizontal="center" vertical="center"/>
    </xf>
    <xf numFmtId="2" fontId="8" fillId="2" borderId="5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0" fontId="13" fillId="9" borderId="7" xfId="0" applyFont="1" applyFill="1" applyBorder="1"/>
    <xf numFmtId="0" fontId="2" fillId="0" borderId="7" xfId="0" applyFont="1" applyBorder="1"/>
    <xf numFmtId="166" fontId="2" fillId="0" borderId="7" xfId="0" applyNumberFormat="1" applyFont="1" applyBorder="1"/>
    <xf numFmtId="165" fontId="2" fillId="0" borderId="7" xfId="0" applyNumberFormat="1" applyFont="1" applyBorder="1"/>
    <xf numFmtId="164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center" vertical="center"/>
    </xf>
    <xf numFmtId="164" fontId="2" fillId="0" borderId="0" xfId="0" applyNumberFormat="1" applyFont="1"/>
    <xf numFmtId="49" fontId="2" fillId="0" borderId="0" xfId="0" applyNumberFormat="1" applyFont="1"/>
    <xf numFmtId="0" fontId="2" fillId="0" borderId="0" xfId="0" applyFont="1" applyProtection="1">
      <protection locked="0"/>
    </xf>
    <xf numFmtId="0" fontId="2" fillId="0" borderId="1" xfId="0" applyFont="1" applyBorder="1" applyProtection="1">
      <protection locked="0"/>
    </xf>
    <xf numFmtId="2" fontId="2" fillId="0" borderId="1" xfId="0" applyNumberFormat="1" applyFont="1" applyBorder="1" applyProtection="1">
      <protection locked="0"/>
    </xf>
    <xf numFmtId="0" fontId="8" fillId="2" borderId="4" xfId="0" applyFont="1" applyFill="1" applyBorder="1" applyAlignment="1" applyProtection="1">
      <alignment horizontal="center" vertical="center"/>
      <protection locked="0"/>
    </xf>
    <xf numFmtId="0" fontId="8" fillId="2" borderId="5" xfId="0" applyFont="1" applyFill="1" applyBorder="1" applyAlignment="1" applyProtection="1">
      <alignment horizontal="center" vertical="center"/>
      <protection locked="0"/>
    </xf>
    <xf numFmtId="2" fontId="8" fillId="2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6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" fontId="3" fillId="0" borderId="1" xfId="0" applyNumberFormat="1" applyFont="1" applyBorder="1" applyAlignment="1" applyProtection="1">
      <alignment horizontal="center" vertical="center"/>
      <protection locked="0"/>
    </xf>
    <xf numFmtId="14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164" fontId="3" fillId="0" borderId="1" xfId="0" applyNumberFormat="1" applyFont="1" applyBorder="1" applyAlignment="1" applyProtection="1">
      <alignment horizontal="right" vertical="center"/>
      <protection locked="0"/>
    </xf>
    <xf numFmtId="0" fontId="3" fillId="5" borderId="2" xfId="0" applyFont="1" applyFill="1" applyBorder="1" applyAlignment="1" applyProtection="1">
      <alignment horizontal="left" vertical="center" wrapText="1"/>
      <protection locked="0"/>
    </xf>
    <xf numFmtId="49" fontId="3" fillId="5" borderId="1" xfId="0" applyNumberFormat="1" applyFont="1" applyFill="1" applyBorder="1" applyAlignment="1" applyProtection="1">
      <alignment horizontal="center" vertical="center"/>
      <protection locked="0"/>
    </xf>
    <xf numFmtId="1" fontId="3" fillId="5" borderId="1" xfId="0" applyNumberFormat="1" applyFont="1" applyFill="1" applyBorder="1" applyAlignment="1" applyProtection="1">
      <alignment horizontal="center" vertical="center"/>
      <protection locked="0"/>
    </xf>
    <xf numFmtId="14" fontId="3" fillId="5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left" vertical="center" wrapText="1"/>
      <protection locked="0"/>
    </xf>
    <xf numFmtId="164" fontId="3" fillId="5" borderId="1" xfId="0" applyNumberFormat="1" applyFont="1" applyFill="1" applyBorder="1" applyAlignment="1" applyProtection="1">
      <alignment horizontal="right" vertical="center"/>
      <protection locked="0"/>
    </xf>
    <xf numFmtId="0" fontId="9" fillId="0" borderId="0" xfId="1" applyProtection="1">
      <protection locked="0"/>
    </xf>
    <xf numFmtId="2" fontId="2" fillId="0" borderId="0" xfId="0" applyNumberFormat="1" applyFont="1" applyProtection="1">
      <protection locked="0"/>
    </xf>
    <xf numFmtId="0" fontId="13" fillId="0" borderId="0" xfId="0" applyFont="1" applyProtection="1">
      <protection locked="0"/>
    </xf>
    <xf numFmtId="43" fontId="3" fillId="0" borderId="1" xfId="2" applyFont="1" applyBorder="1" applyAlignment="1">
      <alignment horizontal="right" vertical="center"/>
    </xf>
    <xf numFmtId="0" fontId="3" fillId="5" borderId="3" xfId="0" applyFont="1" applyFill="1" applyBorder="1" applyAlignment="1" applyProtection="1">
      <alignment horizontal="center" vertical="center"/>
      <protection locked="0"/>
    </xf>
    <xf numFmtId="0" fontId="3" fillId="5" borderId="8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left" vertical="center" indent="1"/>
      <protection locked="0"/>
    </xf>
    <xf numFmtId="0" fontId="2" fillId="0" borderId="0" xfId="0" applyFont="1" applyProtection="1">
      <protection locked="0"/>
    </xf>
    <xf numFmtId="0" fontId="5" fillId="3" borderId="0" xfId="0" applyFont="1" applyFill="1" applyAlignment="1" applyProtection="1">
      <alignment horizontal="left" vertical="center" indent="1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protection locked="0"/>
    </xf>
    <xf numFmtId="1" fontId="7" fillId="4" borderId="1" xfId="0" applyNumberFormat="1" applyFont="1" applyFill="1" applyBorder="1" applyAlignment="1" applyProtection="1">
      <alignment horizontal="center" vertical="center"/>
      <protection locked="0"/>
    </xf>
    <xf numFmtId="164" fontId="7" fillId="4" borderId="1" xfId="0" applyNumberFormat="1" applyFont="1" applyFill="1" applyBorder="1" applyAlignment="1" applyProtection="1">
      <alignment horizontal="center" vertical="center"/>
      <protection locked="0"/>
    </xf>
    <xf numFmtId="165" fontId="7" fillId="4" borderId="1" xfId="0" applyNumberFormat="1" applyFont="1" applyFill="1" applyBorder="1" applyAlignment="1" applyProtection="1">
      <alignment horizontal="center" vertical="center"/>
      <protection locked="0"/>
    </xf>
    <xf numFmtId="0" fontId="9" fillId="0" borderId="0" xfId="1" applyAlignment="1">
      <alignment horizontal="center"/>
    </xf>
    <xf numFmtId="0" fontId="2" fillId="0" borderId="0" xfId="0" applyFont="1" applyAlignment="1">
      <alignment horizontal="center"/>
    </xf>
    <xf numFmtId="164" fontId="7" fillId="4" borderId="1" xfId="0" applyNumberFormat="1" applyFont="1" applyFill="1" applyBorder="1" applyAlignment="1">
      <alignment horizontal="center" vertical="center"/>
    </xf>
    <xf numFmtId="0" fontId="2" fillId="0" borderId="1" xfId="0" applyFont="1" applyBorder="1"/>
    <xf numFmtId="1" fontId="7" fillId="4" borderId="1" xfId="0" applyNumberFormat="1" applyFont="1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 indent="1"/>
    </xf>
    <xf numFmtId="0" fontId="2" fillId="0" borderId="0" xfId="0" applyFont="1"/>
    <xf numFmtId="0" fontId="5" fillId="3" borderId="0" xfId="0" applyFont="1" applyFill="1" applyAlignment="1">
      <alignment horizontal="left" vertical="center" indent="1"/>
    </xf>
    <xf numFmtId="0" fontId="4" fillId="6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12" fillId="8" borderId="0" xfId="0" applyFont="1" applyFill="1" applyAlignment="1">
      <alignment horizontal="center" vertical="center"/>
    </xf>
    <xf numFmtId="166" fontId="12" fillId="8" borderId="0" xfId="0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</cellXfs>
  <cellStyles count="3">
    <cellStyle name="Lien hypertexte" xfId="1" builtinId="8"/>
    <cellStyle name="Milliers" xfId="2" builtinId="3"/>
    <cellStyle name="Normal" xfId="0" builtinId="0"/>
  </cellStyles>
  <dxfs count="99"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9" formatCode="dd/mm/yyyy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protection locked="0" hidden="0"/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</border>
      <protection locked="0" hidden="0"/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#,##0\ \F\C\F\A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</dxf>
    <dxf>
      <border outline="0">
        <top style="thin">
          <color rgb="FFD9D9D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top style="thin">
          <color rgb="FFD9D9D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#,##0\ \F\C\F\A"/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9" formatCode="dd/mm/yyyy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0" formatCode="@"/>
      <fill>
        <patternFill patternType="solid">
          <fgColor rgb="FFF2F5F9"/>
          <bgColor rgb="FFF2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rgb="FFF2F5F9"/>
          <bgColor rgb="FFF2F5F9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  <protection locked="0" hidden="0"/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protection locked="0" hidden="0"/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mes New Roman"/>
        <scheme val="none"/>
      </font>
      <fill>
        <patternFill patternType="solid">
          <fgColor rgb="FF1F497D"/>
          <bgColor rgb="FF1F497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</border>
      <protection locked="0" hidden="0"/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Dashboard!$C$9:$C$13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E7B-A1EB-152E0DF3F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Dashboard!$C$16:$C$18</c:f>
              <c:numCache>
                <c:formatCode>#\ ##0\ "FCFA"</c:formatCode>
                <c:ptCount val="3"/>
                <c:pt idx="0">
                  <c:v>45850000</c:v>
                </c:pt>
                <c:pt idx="1">
                  <c:v>0</c:v>
                </c:pt>
                <c:pt idx="2">
                  <c:v>45850000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F-43E1-8B1E-2581AF94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2011952"/>
        <c:axId val="1503292192"/>
      </c:barChart>
      <c:catAx>
        <c:axId val="161201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3292192"/>
        <c:crosses val="autoZero"/>
        <c:auto val="1"/>
        <c:lblAlgn val="ctr"/>
        <c:lblOffset val="100"/>
        <c:noMultiLvlLbl val="0"/>
      </c:catAx>
      <c:valAx>
        <c:axId val="1503292192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61201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Dashboard_Rose!$C$8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Dashboard_Rose!$B$9:$B$13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Dashboard_Rose!$C$9:$C$13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3-40C0-A2A1-1CC94CCB4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Dashboard_Rose!$B$16:$B$18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Dashboard_Rose!$C$16:$C$18</c:f>
              <c:numCache>
                <c:formatCode>#\ ##0\ "FCFA"</c:formatCode>
                <c:ptCount val="3"/>
                <c:pt idx="0">
                  <c:v>45850000</c:v>
                </c:pt>
                <c:pt idx="1">
                  <c:v>0</c:v>
                </c:pt>
                <c:pt idx="2">
                  <c:v>45850000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03-4E8C-8AD0-078D0CB67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351856"/>
        <c:axId val="55958176"/>
      </c:barChart>
      <c:catAx>
        <c:axId val="14993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958176"/>
        <c:crosses val="autoZero"/>
        <c:auto val="1"/>
        <c:lblAlgn val="ctr"/>
        <c:lblOffset val="100"/>
        <c:noMultiLvlLbl val="0"/>
      </c:catAx>
      <c:valAx>
        <c:axId val="55958176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4993518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État d'Avancement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Dashboard_Yannick!$C$8</c:f>
              <c:strCache>
                <c:ptCount val="1"/>
                <c:pt idx="0">
                  <c:v>Nombre d'articles</c:v>
                </c:pt>
              </c:strCache>
            </c:strRef>
          </c:tx>
          <c:cat>
            <c:strRef>
              <c:f>Dashboard_Yannick!$B$9:$B$13</c:f>
              <c:strCache>
                <c:ptCount val="5"/>
                <c:pt idx="0">
                  <c:v>0% - Non débuté</c:v>
                </c:pt>
                <c:pt idx="1">
                  <c:v>25% - En rédaction</c:v>
                </c:pt>
                <c:pt idx="2">
                  <c:v>50% - Relecture</c:v>
                </c:pt>
                <c:pt idx="3">
                  <c:v>75% - En révision</c:v>
                </c:pt>
                <c:pt idx="4">
                  <c:v>100% - Publié</c:v>
                </c:pt>
              </c:strCache>
            </c:strRef>
          </c:cat>
          <c:val>
            <c:numRef>
              <c:f>Dashboard_Yannick!$C$9:$C$13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4C-4513-9008-A3122E8BB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Bilan Financier (FCFA)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Dashboard_Yannick!$B$16:$B$18</c:f>
              <c:strCache>
                <c:ptCount val="3"/>
                <c:pt idx="0">
                  <c:v>Total Attendu</c:v>
                </c:pt>
                <c:pt idx="1">
                  <c:v>Total Perçu</c:v>
                </c:pt>
                <c:pt idx="2">
                  <c:v>Reste à Recouvrer</c:v>
                </c:pt>
              </c:strCache>
            </c:strRef>
          </c:cat>
          <c:val>
            <c:numRef>
              <c:f>Dashboard_Yannick!$C$16:$C$18</c:f>
              <c:numCache>
                <c:formatCode>#\ ##0\ "FCFA"</c:formatCode>
                <c:ptCount val="3"/>
                <c:pt idx="0">
                  <c:v>250000</c:v>
                </c:pt>
                <c:pt idx="1">
                  <c:v>0</c:v>
                </c:pt>
                <c:pt idx="2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3-426B-8043-48177C919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353712"/>
        <c:axId val="349857696"/>
      </c:barChart>
      <c:catAx>
        <c:axId val="149935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9857696"/>
        <c:crosses val="autoZero"/>
        <c:auto val="1"/>
        <c:lblAlgn val="ctr"/>
        <c:lblOffset val="100"/>
        <c:noMultiLvlLbl val="0"/>
      </c:catAx>
      <c:valAx>
        <c:axId val="349857696"/>
        <c:scaling>
          <c:orientation val="minMax"/>
        </c:scaling>
        <c:delete val="0"/>
        <c:axPos val="l"/>
        <c:majorGridlines/>
        <c:numFmt formatCode="#\ ##0\ &quot;FCFA&quot;" sourceLinked="1"/>
        <c:majorTickMark val="out"/>
        <c:minorTickMark val="none"/>
        <c:tickLblPos val="nextTo"/>
        <c:crossAx val="14993537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308713</xdr:colOff>
      <xdr:row>3</xdr:row>
      <xdr:rowOff>9525</xdr:rowOff>
    </xdr:from>
    <xdr:to>
      <xdr:col>3</xdr:col>
      <xdr:colOff>824763</xdr:colOff>
      <xdr:row>4</xdr:row>
      <xdr:rowOff>329865</xdr:rowOff>
    </xdr:to>
    <xdr:sp macro="[0]!LancerFormulaireSaisie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75763" y="885825"/>
          <a:ext cx="1916225" cy="5203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+ NOUVEL ARTICLE</a:t>
          </a:r>
        </a:p>
      </xdr:txBody>
    </xdr:sp>
    <xdr:clientData/>
  </xdr:twoCellAnchor>
  <xdr:twoCellAnchor>
    <xdr:from>
      <xdr:col>3</xdr:col>
      <xdr:colOff>1228725</xdr:colOff>
      <xdr:row>3</xdr:row>
      <xdr:rowOff>20638</xdr:rowOff>
    </xdr:from>
    <xdr:to>
      <xdr:col>4</xdr:col>
      <xdr:colOff>1028700</xdr:colOff>
      <xdr:row>4</xdr:row>
      <xdr:rowOff>342900</xdr:rowOff>
    </xdr:to>
    <xdr:sp macro="[0]!FiltrerImpayes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695950" y="896938"/>
          <a:ext cx="1200150" cy="5222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FILTRE</a:t>
          </a:r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409575</xdr:colOff>
      <xdr:row>5</xdr:row>
      <xdr:rowOff>9525</xdr:rowOff>
    </xdr:to>
    <xdr:sp macro="[0]!Module7.ArchiverArticlesTermines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267575" y="885825"/>
          <a:ext cx="18097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ARCHIVAGE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701675</xdr:colOff>
      <xdr:row>6</xdr:row>
      <xdr:rowOff>66675</xdr:rowOff>
    </xdr:from>
    <xdr:to>
      <xdr:col>11</xdr:col>
      <xdr:colOff>193675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8F299B3-5463-4976-99DB-168F59152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701675</xdr:colOff>
      <xdr:row>22</xdr:row>
      <xdr:rowOff>66675</xdr:rowOff>
    </xdr:from>
    <xdr:to>
      <xdr:col>11</xdr:col>
      <xdr:colOff>193675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CCEACDA-FDB3-A712-5F44-CFB9B0D58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308713</xdr:colOff>
      <xdr:row>3</xdr:row>
      <xdr:rowOff>9525</xdr:rowOff>
    </xdr:from>
    <xdr:to>
      <xdr:col>3</xdr:col>
      <xdr:colOff>824763</xdr:colOff>
      <xdr:row>4</xdr:row>
      <xdr:rowOff>329865</xdr:rowOff>
    </xdr:to>
    <xdr:sp macro="[0]!LancerFormulaireSaisie" textlink="">
      <xdr:nvSpPr>
        <xdr:cNvPr id="2" name="Rectangle à coins arrondis 2">
          <a:extLst>
            <a:ext uri="{FF2B5EF4-FFF2-40B4-BE49-F238E27FC236}">
              <a16:creationId xmlns:a16="http://schemas.microsoft.com/office/drawing/2014/main" id="{095DBD88-5D05-4379-87E2-1B16CA9B6FD1}"/>
            </a:ext>
          </a:extLst>
        </xdr:cNvPr>
        <xdr:cNvSpPr/>
      </xdr:nvSpPr>
      <xdr:spPr>
        <a:xfrm>
          <a:off x="3375763" y="885825"/>
          <a:ext cx="1916225" cy="5203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+ NOUVEL ARTICLE</a:t>
          </a:r>
        </a:p>
      </xdr:txBody>
    </xdr:sp>
    <xdr:clientData/>
  </xdr:twoCellAnchor>
  <xdr:twoCellAnchor>
    <xdr:from>
      <xdr:col>3</xdr:col>
      <xdr:colOff>1228725</xdr:colOff>
      <xdr:row>3</xdr:row>
      <xdr:rowOff>20638</xdr:rowOff>
    </xdr:from>
    <xdr:to>
      <xdr:col>4</xdr:col>
      <xdr:colOff>1028700</xdr:colOff>
      <xdr:row>4</xdr:row>
      <xdr:rowOff>342900</xdr:rowOff>
    </xdr:to>
    <xdr:sp macro="[0]!FiltrerImpayes" textlink="">
      <xdr:nvSpPr>
        <xdr:cNvPr id="3" name="Rectangle à coins arrondis 3">
          <a:extLst>
            <a:ext uri="{FF2B5EF4-FFF2-40B4-BE49-F238E27FC236}">
              <a16:creationId xmlns:a16="http://schemas.microsoft.com/office/drawing/2014/main" id="{61078E90-EA67-4121-B920-BF9A85D9D471}"/>
            </a:ext>
          </a:extLst>
        </xdr:cNvPr>
        <xdr:cNvSpPr/>
      </xdr:nvSpPr>
      <xdr:spPr>
        <a:xfrm>
          <a:off x="5695950" y="896938"/>
          <a:ext cx="1200150" cy="5222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FILTRE</a:t>
          </a:r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409575</xdr:colOff>
      <xdr:row>5</xdr:row>
      <xdr:rowOff>9525</xdr:rowOff>
    </xdr:to>
    <xdr:sp macro="[0]!Module7.ArchiverArticlesTermines" textlink="">
      <xdr:nvSpPr>
        <xdr:cNvPr id="4" name="Rectangle à coins arrondis 4">
          <a:extLst>
            <a:ext uri="{FF2B5EF4-FFF2-40B4-BE49-F238E27FC236}">
              <a16:creationId xmlns:a16="http://schemas.microsoft.com/office/drawing/2014/main" id="{5EE55F5F-A5F9-4027-A1BE-568D2C441FAC}"/>
            </a:ext>
          </a:extLst>
        </xdr:cNvPr>
        <xdr:cNvSpPr/>
      </xdr:nvSpPr>
      <xdr:spPr>
        <a:xfrm>
          <a:off x="7267575" y="885825"/>
          <a:ext cx="18097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ARCHIVAGE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701675</xdr:colOff>
      <xdr:row>6</xdr:row>
      <xdr:rowOff>66675</xdr:rowOff>
    </xdr:from>
    <xdr:to>
      <xdr:col>11</xdr:col>
      <xdr:colOff>193675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6C8D1E3-FAE2-433B-97F6-D4F2066D0E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701675</xdr:colOff>
      <xdr:row>22</xdr:row>
      <xdr:rowOff>66675</xdr:rowOff>
    </xdr:from>
    <xdr:to>
      <xdr:col>11</xdr:col>
      <xdr:colOff>193675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DFD360B-66FA-4C95-2BDD-4F2A054C3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120650</xdr:colOff>
      <xdr:row>6</xdr:row>
      <xdr:rowOff>66675</xdr:rowOff>
    </xdr:from>
    <xdr:to>
      <xdr:col>11</xdr:col>
      <xdr:colOff>374650</xdr:colOff>
      <xdr:row>21</xdr:row>
      <xdr:rowOff>3175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F334EF3-F70C-4527-B60D-64087720E7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120650</xdr:colOff>
      <xdr:row>22</xdr:row>
      <xdr:rowOff>66675</xdr:rowOff>
    </xdr:from>
    <xdr:to>
      <xdr:col>11</xdr:col>
      <xdr:colOff>374650</xdr:colOff>
      <xdr:row>35</xdr:row>
      <xdr:rowOff>130175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9DEC710-8B4C-5A4E-B6CF-63DEA3627E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A7:M200" totalsRowShown="0" headerRowDxfId="69" dataDxfId="67" headerRowBorderDxfId="68" tableBorderDxfId="66">
  <autoFilter ref="A7:M200" xr:uid="{00000000-0009-0000-0100-000002000000}"/>
  <tableColumns count="13">
    <tableColumn id="1" xr3:uid="{00000000-0010-0000-0000-000001000000}" name="Nom &amp; Prénom" dataDxfId="65"/>
    <tableColumn id="2" xr3:uid="{00000000-0010-0000-0000-000002000000}" name="Numéro WhatsApp" dataDxfId="64"/>
    <tableColumn id="3" xr3:uid="{00000000-0010-0000-0000-000003000000}" name="Nationalité" dataDxfId="63"/>
    <tableColumn id="4" xr3:uid="{00000000-0010-0000-0000-000004000000}" name="Nom de l'Article" dataDxfId="62"/>
    <tableColumn id="5" xr3:uid="{00000000-0010-0000-0000-000005000000}" name="Évolution" dataDxfId="61"/>
    <tableColumn id="6" xr3:uid="{00000000-0010-0000-0000-000006000000}" name="Tâches Effectuées" dataDxfId="60"/>
    <tableColumn id="7" xr3:uid="{00000000-0010-0000-0000-000007000000}" name="Tâches à Effectuer" dataDxfId="59"/>
    <tableColumn id="8" xr3:uid="{00000000-0010-0000-0000-000008000000}" name="Montant à Payer" dataDxfId="58"/>
    <tableColumn id="9" xr3:uid="{00000000-0010-0000-0000-000009000000}" name="Montant Payé" dataDxfId="57"/>
    <tableColumn id="10" xr3:uid="{00000000-0010-0000-0000-00000A000000}" name="Solde Restant" dataDxfId="56"/>
    <tableColumn id="11" xr3:uid="{00000000-0010-0000-0000-00000B000000}" name="Dépôt Légal" dataDxfId="55"/>
    <tableColumn id="12" xr3:uid="{00000000-0010-0000-0000-00000C000000}" name="Message Personnalisé" dataDxfId="54"/>
    <tableColumn id="13" xr3:uid="{00000000-0010-0000-0000-00000D000000}" name="Action WhatsApp" dataDxfId="5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au3" displayName="Tableau3" ref="A7:Q200" totalsRowShown="0" headerRowDxfId="52" dataDxfId="50" headerRowBorderDxfId="51" tableBorderDxfId="49">
  <autoFilter ref="A7:Q200" xr:uid="{00000000-0009-0000-0100-000003000000}"/>
  <tableColumns count="17">
    <tableColumn id="1" xr3:uid="{00000000-0010-0000-0100-000001000000}" name="Nbre de relances" dataDxfId="48"/>
    <tableColumn id="2" xr3:uid="{00000000-0010-0000-0100-000002000000}" name="Dernière relance" dataDxfId="47"/>
    <tableColumn id="3" xr3:uid="{00000000-0010-0000-0100-000003000000}" name="Nationalité" dataDxfId="46"/>
    <tableColumn id="4" xr3:uid="{00000000-0010-0000-0100-000004000000}" name="Nom de l'Article" dataDxfId="45">
      <calculatedColumnFormula>IF(B8="", "", IF(C8="", "En attente de date", IF((C8-TODAY())&lt;=0, "Urgent (J-0)", IF((C8-TODAY())&lt;=7, "Relance à J-7", IF(E8&gt;0, "Déjà relancé", "Dans les temps")))))</calculatedColumnFormula>
    </tableColumn>
    <tableColumn id="5" xr3:uid="{00000000-0010-0000-0100-000005000000}" name="Évolution" dataDxfId="44"/>
    <tableColumn id="6" xr3:uid="{00000000-0010-0000-0100-000006000000}" name="Tâches Effectuées" dataDxfId="43"/>
    <tableColumn id="7" xr3:uid="{00000000-0010-0000-0100-000007000000}" name="Tâches à Effectuer" dataDxfId="42"/>
    <tableColumn id="8" xr3:uid="{00000000-0010-0000-0100-000008000000}" name="Montant à Payer" dataDxfId="41">
      <calculatedColumnFormula>IF(C8="Cameroun", 75000, IF(OR(C8="Gabon", C8="Congo (RDC)", C8="Congo", C8="Tchad", C8="RCA", C8="Guinée Équatoriale"), 150000, IF(C8&lt;&gt;"", 200000, 250000)))</calculatedColumnFormula>
    </tableColumn>
    <tableColumn id="9" xr3:uid="{00000000-0010-0000-0100-000009000000}" name="Montant Payé" dataDxfId="40"/>
    <tableColumn id="10" xr3:uid="{00000000-0010-0000-0100-00000A000000}" name="Solde Restant" dataDxfId="39">
      <calculatedColumnFormula>H8-I8</calculatedColumnFormula>
    </tableColumn>
    <tableColumn id="11" xr3:uid="{00000000-0010-0000-0100-00000B000000}" name="Dépôt Légal" dataDxfId="38"/>
    <tableColumn id="12" xr3:uid="{00000000-0010-0000-0100-00000C000000}" name="Message Personnalisé" dataDxfId="37">
      <calculatedColumnFormula>IF(G8="Cameroun", 75000, IF(OR(G8="Gabon", G8="Congo (RDC)", G8="Congo", G8="Tchad", G8="RCA", G8="Guinée Équatoriale"), 150000, IF(G8&lt;&gt;"", 200000, 250000)))</calculatedColumnFormula>
    </tableColumn>
    <tableColumn id="13" xr3:uid="{00000000-0010-0000-0100-00000D000000}" name="Action WhatsApp" dataDxfId="36"/>
    <tableColumn id="14" xr3:uid="{00000000-0010-0000-0100-00000E000000}" name="Solde Restant2" dataDxfId="35">
      <calculatedColumnFormula>L8-M8</calculatedColumnFormula>
    </tableColumn>
    <tableColumn id="15" xr3:uid="{00000000-0010-0000-0100-00000F000000}" name="Dépôt Légal3" dataDxfId="34"/>
    <tableColumn id="16" xr3:uid="{00000000-0010-0000-0100-000010000000}" name="Message Personnalisé4" dataDxfId="33"/>
    <tableColumn id="17" xr3:uid="{00000000-0010-0000-0100-000011000000}" name="Action WhatsApp5" dataDxfId="32">
      <calculatedColumnFormula>IF(B8="","","https://wa.me/"&amp;SUBSTITUTE(SUBSTITUTE(SUBSTITUTE(B8,"+","")," ",""),"-","")&amp;"?text="&amp;SUBSTITUTE(P8," ","%20"))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au1" displayName="Tableau1" ref="A7:Q199" totalsRowShown="0" headerRowDxfId="25" dataDxfId="23" headerRowBorderDxfId="24" tableBorderDxfId="22" totalsRowBorderDxfId="21">
  <tableColumns count="17">
    <tableColumn id="1" xr3:uid="{00000000-0010-0000-0200-000001000000}" name="Nom &amp; Prénom" dataDxfId="20"/>
    <tableColumn id="2" xr3:uid="{00000000-0010-0000-0200-000002000000}" name="Numéro WhatsApp" dataDxfId="19"/>
    <tableColumn id="18" xr3:uid="{00000000-0010-0000-0200-000012000000}" name="Deadline" dataDxfId="18"/>
    <tableColumn id="19" xr3:uid="{00000000-0010-0000-0200-000013000000}" name="Priorité" dataDxfId="17"/>
    <tableColumn id="20" xr3:uid="{00000000-0010-0000-0200-000014000000}" name="Nbre de relances" dataDxfId="16"/>
    <tableColumn id="21" xr3:uid="{00000000-0010-0000-0200-000015000000}" name="Dernière relance" dataDxfId="15"/>
    <tableColumn id="3" xr3:uid="{00000000-0010-0000-0200-000003000000}" name="Nationalité" dataDxfId="14"/>
    <tableColumn id="4" xr3:uid="{00000000-0010-0000-0200-000004000000}" name="Nom de l'Article" dataDxfId="13"/>
    <tableColumn id="5" xr3:uid="{00000000-0010-0000-0200-000005000000}" name="Évolution" dataDxfId="12"/>
    <tableColumn id="6" xr3:uid="{00000000-0010-0000-0200-000006000000}" name="Tâches Effectuées" dataDxfId="11"/>
    <tableColumn id="7" xr3:uid="{00000000-0010-0000-0200-000007000000}" name="Tâches à Effectuer" dataDxfId="10"/>
    <tableColumn id="8" xr3:uid="{00000000-0010-0000-0200-000008000000}" name="Montant à Payer" dataDxfId="9">
      <calculatedColumnFormula>IF(G8="Cameroun", 75000, IF(OR(G8="Gabon", G8="Congo (RDC)", G8="Congo", G8="Tchad", G8="RCA", G8="Guinée Équatoriale"), 150000, IF(G8&lt;&gt;"", 200000, 250000)))</calculatedColumnFormula>
    </tableColumn>
    <tableColumn id="9" xr3:uid="{00000000-0010-0000-0200-000009000000}" name="Montant Payé" dataDxfId="8"/>
    <tableColumn id="10" xr3:uid="{00000000-0010-0000-0200-00000A000000}" name="Solde Restant" dataDxfId="7">
      <calculatedColumnFormula>L8-M8</calculatedColumnFormula>
    </tableColumn>
    <tableColumn id="11" xr3:uid="{00000000-0010-0000-0200-00000B000000}" name="Dépôt Légal" dataDxfId="6"/>
    <tableColumn id="12" xr3:uid="{00000000-0010-0000-0200-00000C000000}" name="Message Personnalisé" dataDxfId="5">
      <calculatedColumnFormula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calculatedColumnFormula>
    </tableColumn>
    <tableColumn id="13" xr3:uid="{00000000-0010-0000-0200-00000D000000}" name="Action WhatsApp" dataDxfId="4">
      <calculatedColumnFormula>IF(B8="","","https://wa.me/"&amp;SUBSTITUTE(SUBSTITUTE(SUBSTITUTE(B8,"+","")," ",""),"-","")&amp;"?text="&amp;SUBSTITUTE(P8," ","%20"))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239787-CC39-43EF-85C9-3B4CFF452D1A}" name="Tableau15" displayName="Tableau15" ref="A7:R204" totalsRowShown="0" headerRowDxfId="92" dataDxfId="90" headerRowBorderDxfId="91" tableBorderDxfId="89" totalsRowBorderDxfId="88">
  <tableColumns count="18">
    <tableColumn id="1" xr3:uid="{26FEC87F-3338-4E9F-B00E-4AFC32EF7639}" name="Nom &amp; Prénom" dataDxfId="87"/>
    <tableColumn id="2" xr3:uid="{AA7442A6-589C-442E-93E4-1A0054754720}" name="Numéro WhatsApp" dataDxfId="86"/>
    <tableColumn id="18" xr3:uid="{B8D9E80B-633D-479C-BC22-E4B84AB9F0E0}" name="Deadline" dataDxfId="85"/>
    <tableColumn id="19" xr3:uid="{9F104023-9F2F-49D1-9DC8-738FE5BD3710}" name="Priorité" dataDxfId="84"/>
    <tableColumn id="20" xr3:uid="{1AAA7528-6FEA-4052-9661-CD44A627B45E}" name="Nbre de relances" dataDxfId="83"/>
    <tableColumn id="21" xr3:uid="{7AC5D48E-70AE-4E43-866F-AE2ED852BE1A}" name="Dernière relance" dataDxfId="82"/>
    <tableColumn id="3" xr3:uid="{E952673D-344A-4355-89BB-E32C32C6335D}" name="Nationalité" dataDxfId="81"/>
    <tableColumn id="4" xr3:uid="{D70A3413-38CF-479E-A807-CCD138C137B8}" name="Nom de l'Article" dataDxfId="80"/>
    <tableColumn id="5" xr3:uid="{E37E09D8-F4AB-40B4-9B9E-C5CC6E4DA330}" name="Évolution" dataDxfId="79"/>
    <tableColumn id="6" xr3:uid="{1489C597-25BF-4618-AF8A-41F17EB8C02B}" name="Tâches Effectuées" dataDxfId="78"/>
    <tableColumn id="7" xr3:uid="{8C14B02C-FAB0-405C-AB6B-F89F9F0D87F7}" name="Tâches à Effectuer" dataDxfId="77"/>
    <tableColumn id="8" xr3:uid="{DCD51B4A-41AB-4AFC-A515-D2A626E8A072}" name="Montant à Payer" dataDxfId="76" dataCellStyle="Milliers">
      <calculatedColumnFormula>IF(G8="Cameroun", 75000, IF(OR(G8="Gabon", G8="Congo (RDC)", G8="Congo", G8="Tchad", G8="RCA", G8="Guinée Équatoriale"), 150000, IF(G8&lt;&gt;"", 200000, 250000)))</calculatedColumnFormula>
    </tableColumn>
    <tableColumn id="9" xr3:uid="{12E4A07B-CF18-4BBB-9E39-389F77C118E4}" name="Montant Payé" dataDxfId="75"/>
    <tableColumn id="10" xr3:uid="{52887D87-B45F-4359-92C0-98BEFB3A1474}" name="Solde Restant" dataDxfId="74">
      <calculatedColumnFormula>L8-M8</calculatedColumnFormula>
    </tableColumn>
    <tableColumn id="11" xr3:uid="{C5A22DF2-40F4-4AFD-9ACF-33D54F07B9EA}" name="Dépôt Légal" dataDxfId="73"/>
    <tableColumn id="12" xr3:uid="{5836B2C3-857E-40C7-A5E4-0D35E3BB6B31}" name="Message Personnalisé" dataDxfId="72">
      <calculatedColumnFormula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calculatedColumnFormula>
    </tableColumn>
    <tableColumn id="13" xr3:uid="{E806D081-3AC1-4A9D-B18B-D4D616D1CF4F}" name="Action WhatsApp" dataDxfId="71">
      <calculatedColumnFormula>IF(B8="","","https://wa.me/"&amp;SUBSTITUTE(SUBSTITUTE(SUBSTITUTE(B8,"+","")," ",""),"-","")&amp;"?text="&amp;SUBSTITUTE(P8," ","%20"))</calculatedColumnFormula>
    </tableColumn>
    <tableColumn id="14" xr3:uid="{0B6CC891-A04C-4B57-98E2-D7738016CCFE}" name="Autre info" dataDxfId="7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55"/>
  <sheetViews>
    <sheetView topLeftCell="A34" workbookViewId="0">
      <selection activeCell="C52" sqref="C52"/>
    </sheetView>
  </sheetViews>
  <sheetFormatPr baseColWidth="10" defaultColWidth="9.140625" defaultRowHeight="15" x14ac:dyDescent="0.25"/>
  <cols>
    <col min="1" max="1" width="28" style="2" customWidth="1"/>
    <col min="2" max="16384" width="9.140625" style="2"/>
  </cols>
  <sheetData>
    <row r="1" spans="1:1" ht="15.75" x14ac:dyDescent="0.25">
      <c r="A1" s="1" t="s">
        <v>0</v>
      </c>
    </row>
    <row r="2" spans="1:1" x14ac:dyDescent="0.25">
      <c r="A2" s="3" t="s">
        <v>1</v>
      </c>
    </row>
    <row r="3" spans="1:1" x14ac:dyDescent="0.25">
      <c r="A3" s="3" t="s">
        <v>2</v>
      </c>
    </row>
    <row r="4" spans="1:1" x14ac:dyDescent="0.25">
      <c r="A4" s="3" t="s">
        <v>3</v>
      </c>
    </row>
    <row r="5" spans="1:1" x14ac:dyDescent="0.25">
      <c r="A5" s="3" t="s">
        <v>4</v>
      </c>
    </row>
    <row r="6" spans="1:1" x14ac:dyDescent="0.25">
      <c r="A6" s="3" t="s">
        <v>5</v>
      </c>
    </row>
    <row r="7" spans="1:1" x14ac:dyDescent="0.25">
      <c r="A7" s="3" t="s">
        <v>6</v>
      </c>
    </row>
    <row r="8" spans="1:1" x14ac:dyDescent="0.25">
      <c r="A8" s="3" t="s">
        <v>7</v>
      </c>
    </row>
    <row r="9" spans="1:1" x14ac:dyDescent="0.25">
      <c r="A9" s="3" t="s">
        <v>8</v>
      </c>
    </row>
    <row r="10" spans="1:1" x14ac:dyDescent="0.25">
      <c r="A10" s="3" t="s">
        <v>9</v>
      </c>
    </row>
    <row r="11" spans="1:1" x14ac:dyDescent="0.25">
      <c r="A11" s="3" t="s">
        <v>10</v>
      </c>
    </row>
    <row r="12" spans="1:1" x14ac:dyDescent="0.25">
      <c r="A12" s="3" t="s">
        <v>11</v>
      </c>
    </row>
    <row r="13" spans="1:1" x14ac:dyDescent="0.25">
      <c r="A13" s="3" t="s">
        <v>12</v>
      </c>
    </row>
    <row r="14" spans="1:1" x14ac:dyDescent="0.25">
      <c r="A14" s="3" t="s">
        <v>13</v>
      </c>
    </row>
    <row r="15" spans="1:1" x14ac:dyDescent="0.25">
      <c r="A15" s="3" t="s">
        <v>14</v>
      </c>
    </row>
    <row r="16" spans="1:1" x14ac:dyDescent="0.25">
      <c r="A16" s="3" t="s">
        <v>15</v>
      </c>
    </row>
    <row r="17" spans="1:1" x14ac:dyDescent="0.25">
      <c r="A17" s="3" t="s">
        <v>16</v>
      </c>
    </row>
    <row r="18" spans="1:1" x14ac:dyDescent="0.25">
      <c r="A18" s="3" t="s">
        <v>17</v>
      </c>
    </row>
    <row r="19" spans="1:1" x14ac:dyDescent="0.25">
      <c r="A19" s="3" t="s">
        <v>18</v>
      </c>
    </row>
    <row r="20" spans="1:1" x14ac:dyDescent="0.25">
      <c r="A20" s="3" t="s">
        <v>19</v>
      </c>
    </row>
    <row r="21" spans="1:1" x14ac:dyDescent="0.25">
      <c r="A21" s="3" t="s">
        <v>20</v>
      </c>
    </row>
    <row r="22" spans="1:1" x14ac:dyDescent="0.25">
      <c r="A22" s="3" t="s">
        <v>21</v>
      </c>
    </row>
    <row r="23" spans="1:1" x14ac:dyDescent="0.25">
      <c r="A23" s="3" t="s">
        <v>22</v>
      </c>
    </row>
    <row r="24" spans="1:1" x14ac:dyDescent="0.25">
      <c r="A24" s="3" t="s">
        <v>23</v>
      </c>
    </row>
    <row r="25" spans="1:1" x14ac:dyDescent="0.25">
      <c r="A25" s="3" t="s">
        <v>24</v>
      </c>
    </row>
    <row r="26" spans="1:1" x14ac:dyDescent="0.25">
      <c r="A26" s="3" t="s">
        <v>25</v>
      </c>
    </row>
    <row r="27" spans="1:1" x14ac:dyDescent="0.25">
      <c r="A27" s="3" t="s">
        <v>26</v>
      </c>
    </row>
    <row r="28" spans="1:1" x14ac:dyDescent="0.25">
      <c r="A28" s="3" t="s">
        <v>27</v>
      </c>
    </row>
    <row r="29" spans="1:1" x14ac:dyDescent="0.25">
      <c r="A29" s="3" t="s">
        <v>28</v>
      </c>
    </row>
    <row r="30" spans="1:1" x14ac:dyDescent="0.25">
      <c r="A30" s="3" t="s">
        <v>29</v>
      </c>
    </row>
    <row r="31" spans="1:1" x14ac:dyDescent="0.25">
      <c r="A31" s="3" t="s">
        <v>30</v>
      </c>
    </row>
    <row r="32" spans="1:1" x14ac:dyDescent="0.25">
      <c r="A32" s="3" t="s">
        <v>31</v>
      </c>
    </row>
    <row r="33" spans="1:1" x14ac:dyDescent="0.25">
      <c r="A33" s="3" t="s">
        <v>32</v>
      </c>
    </row>
    <row r="34" spans="1:1" x14ac:dyDescent="0.25">
      <c r="A34" s="3" t="s">
        <v>33</v>
      </c>
    </row>
    <row r="35" spans="1:1" x14ac:dyDescent="0.25">
      <c r="A35" s="3" t="s">
        <v>34</v>
      </c>
    </row>
    <row r="36" spans="1:1" x14ac:dyDescent="0.25">
      <c r="A36" s="3" t="s">
        <v>35</v>
      </c>
    </row>
    <row r="37" spans="1:1" x14ac:dyDescent="0.25">
      <c r="A37" s="3" t="s">
        <v>36</v>
      </c>
    </row>
    <row r="38" spans="1:1" x14ac:dyDescent="0.25">
      <c r="A38" s="3" t="s">
        <v>37</v>
      </c>
    </row>
    <row r="39" spans="1:1" x14ac:dyDescent="0.25">
      <c r="A39" s="3" t="s">
        <v>38</v>
      </c>
    </row>
    <row r="40" spans="1:1" x14ac:dyDescent="0.25">
      <c r="A40" s="3" t="s">
        <v>39</v>
      </c>
    </row>
    <row r="41" spans="1:1" x14ac:dyDescent="0.25">
      <c r="A41" s="3" t="s">
        <v>40</v>
      </c>
    </row>
    <row r="42" spans="1:1" x14ac:dyDescent="0.25">
      <c r="A42" s="3" t="s">
        <v>41</v>
      </c>
    </row>
    <row r="43" spans="1:1" x14ac:dyDescent="0.25">
      <c r="A43" s="3" t="s">
        <v>42</v>
      </c>
    </row>
    <row r="44" spans="1:1" x14ac:dyDescent="0.25">
      <c r="A44" s="3" t="s">
        <v>43</v>
      </c>
    </row>
    <row r="45" spans="1:1" x14ac:dyDescent="0.25">
      <c r="A45" s="3" t="s">
        <v>44</v>
      </c>
    </row>
    <row r="46" spans="1:1" x14ac:dyDescent="0.25">
      <c r="A46" s="3" t="s">
        <v>45</v>
      </c>
    </row>
    <row r="47" spans="1:1" x14ac:dyDescent="0.25">
      <c r="A47" s="3" t="s">
        <v>46</v>
      </c>
    </row>
    <row r="48" spans="1:1" x14ac:dyDescent="0.25">
      <c r="A48" s="3" t="s">
        <v>47</v>
      </c>
    </row>
    <row r="49" spans="1:1" x14ac:dyDescent="0.25">
      <c r="A49" s="3" t="s">
        <v>48</v>
      </c>
    </row>
    <row r="50" spans="1:1" x14ac:dyDescent="0.25">
      <c r="A50" s="3" t="s">
        <v>49</v>
      </c>
    </row>
    <row r="51" spans="1:1" x14ac:dyDescent="0.25">
      <c r="A51" s="3" t="s">
        <v>50</v>
      </c>
    </row>
    <row r="52" spans="1:1" x14ac:dyDescent="0.25">
      <c r="A52" s="3" t="s">
        <v>51</v>
      </c>
    </row>
    <row r="53" spans="1:1" x14ac:dyDescent="0.25">
      <c r="A53" s="3" t="s">
        <v>52</v>
      </c>
    </row>
    <row r="54" spans="1:1" x14ac:dyDescent="0.25">
      <c r="A54" s="3" t="s">
        <v>53</v>
      </c>
    </row>
    <row r="55" spans="1:1" x14ac:dyDescent="0.25">
      <c r="A55" s="3" t="s">
        <v>54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P27"/>
  <sheetViews>
    <sheetView topLeftCell="A7" workbookViewId="0">
      <pane ySplit="1" topLeftCell="A8" activePane="bottomLeft" state="frozen"/>
      <selection activeCell="A7" sqref="A7"/>
      <selection pane="bottomLeft" activeCell="O8" sqref="O8:P8"/>
    </sheetView>
  </sheetViews>
  <sheetFormatPr baseColWidth="10" defaultColWidth="9.140625" defaultRowHeight="15" x14ac:dyDescent="0.25"/>
  <cols>
    <col min="1" max="1" width="25" style="2" customWidth="1"/>
    <col min="2" max="2" width="21" style="2" customWidth="1"/>
    <col min="3" max="3" width="20" style="2" customWidth="1"/>
    <col min="4" max="4" width="35" style="2" customWidth="1"/>
    <col min="5" max="5" width="22" style="2" customWidth="1"/>
    <col min="6" max="7" width="30" style="2" customWidth="1"/>
    <col min="8" max="8" width="18.5703125" style="2" customWidth="1"/>
    <col min="9" max="10" width="18" style="2" customWidth="1"/>
    <col min="11" max="11" width="15" style="2" customWidth="1"/>
    <col min="12" max="12" width="42" style="2" customWidth="1"/>
    <col min="13" max="13" width="22" style="2" customWidth="1"/>
    <col min="14" max="16384" width="9.140625" style="2"/>
  </cols>
  <sheetData>
    <row r="1" spans="1:16" ht="35.1" customHeight="1" x14ac:dyDescent="0.25">
      <c r="A1" s="77" t="s">
        <v>55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</row>
    <row r="2" spans="1:16" ht="20.100000000000001" customHeight="1" x14ac:dyDescent="0.25">
      <c r="A2" s="79" t="s">
        <v>56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</row>
    <row r="4" spans="1:16" ht="15.95" customHeight="1" x14ac:dyDescent="0.25">
      <c r="A4" s="76" t="s">
        <v>57</v>
      </c>
      <c r="B4" s="73"/>
      <c r="C4" s="76" t="s">
        <v>58</v>
      </c>
      <c r="D4" s="73"/>
      <c r="E4" s="76" t="s">
        <v>59</v>
      </c>
      <c r="F4" s="73"/>
      <c r="G4" s="76" t="s">
        <v>60</v>
      </c>
      <c r="H4" s="73"/>
      <c r="I4" s="76" t="s">
        <v>61</v>
      </c>
      <c r="J4" s="73"/>
      <c r="K4" s="73"/>
      <c r="L4" s="73"/>
      <c r="M4" s="73"/>
    </row>
    <row r="5" spans="1:16" ht="27.95" customHeight="1" x14ac:dyDescent="0.25">
      <c r="A5" s="74">
        <f>COUNTA(A8:A30)</f>
        <v>0</v>
      </c>
      <c r="B5" s="73"/>
      <c r="C5" s="72">
        <f>SUM(H8:H30)</f>
        <v>0</v>
      </c>
      <c r="D5" s="73"/>
      <c r="E5" s="72">
        <f>SUM(I8:I30)</f>
        <v>0</v>
      </c>
      <c r="F5" s="73"/>
      <c r="G5" s="72">
        <f>SUM(J8:J30)</f>
        <v>0</v>
      </c>
      <c r="H5" s="73"/>
      <c r="I5" s="75">
        <f>IF(C5&gt;0, E5/C5, 0)</f>
        <v>0</v>
      </c>
      <c r="J5" s="73"/>
      <c r="K5" s="73"/>
      <c r="L5" s="73"/>
      <c r="M5" s="73"/>
    </row>
    <row r="7" spans="1:16" ht="27.95" customHeight="1" x14ac:dyDescent="0.25">
      <c r="A7" s="13" t="s">
        <v>62</v>
      </c>
      <c r="B7" s="13" t="s">
        <v>63</v>
      </c>
      <c r="C7" s="13" t="s">
        <v>64</v>
      </c>
      <c r="D7" s="13" t="s">
        <v>65</v>
      </c>
      <c r="E7" s="13" t="s">
        <v>66</v>
      </c>
      <c r="F7" s="13" t="s">
        <v>67</v>
      </c>
      <c r="G7" s="13" t="s">
        <v>68</v>
      </c>
      <c r="H7" s="13" t="s">
        <v>69</v>
      </c>
      <c r="I7" s="13" t="s">
        <v>70</v>
      </c>
      <c r="J7" s="13" t="s">
        <v>71</v>
      </c>
      <c r="K7" s="13" t="s">
        <v>72</v>
      </c>
      <c r="L7" s="13" t="s">
        <v>73</v>
      </c>
      <c r="M7" s="13" t="s">
        <v>74</v>
      </c>
    </row>
    <row r="8" spans="1:16" ht="27.95" customHeight="1" x14ac:dyDescent="0.25">
      <c r="A8" s="4"/>
      <c r="B8" s="5"/>
      <c r="C8" s="5"/>
      <c r="D8" s="4"/>
      <c r="E8" s="5"/>
      <c r="F8" s="4"/>
      <c r="G8" s="4"/>
      <c r="H8" s="6"/>
      <c r="I8" s="6"/>
      <c r="J8" s="6">
        <f t="shared" ref="J8:J27" si="0">H8-I8</f>
        <v>0</v>
      </c>
      <c r="K8" s="5"/>
      <c r="L8" s="4" t="str">
        <f t="shared" ref="L8:L27" si="1">IF(A8="","","Bonjour "&amp;A8&amp;", concernant votre article '"&amp;D8&amp;"', votre solde restant est de "&amp;TEXT(J8,"#,##0 FCFA")&amp;". Merci!")</f>
        <v/>
      </c>
      <c r="M8" s="5" t="str">
        <f>IF(B8="","",HYPERLINK("https://wa.me/"&amp;SUBSTITUTE(SUBSTITUTE(SUBSTITUTE(TEXT(B8,"0"),"+","")," ",""),"-","")&amp;"/?text="&amp;_xludf.ENCODEURL(L8),"💬 Envoyer Message"))</f>
        <v/>
      </c>
      <c r="O8" s="70" t="str">
        <f>HYPERLINK("#'TABLEAU DE BORD'!A1", "🏠 Retour au Tableau de Bord")</f>
        <v>🏠 Retour au Tableau de Bord</v>
      </c>
      <c r="P8" s="71"/>
    </row>
    <row r="9" spans="1:16" ht="27.95" customHeight="1" x14ac:dyDescent="0.25">
      <c r="A9" s="7"/>
      <c r="B9" s="8"/>
      <c r="C9" s="8"/>
      <c r="D9" s="7"/>
      <c r="E9" s="8"/>
      <c r="F9" s="7"/>
      <c r="G9" s="7"/>
      <c r="H9" s="9"/>
      <c r="I9" s="9"/>
      <c r="J9" s="9">
        <f t="shared" si="0"/>
        <v>0</v>
      </c>
      <c r="K9" s="8"/>
      <c r="L9" s="7" t="str">
        <f t="shared" si="1"/>
        <v/>
      </c>
      <c r="M9" s="8" t="str">
        <f>IF(B9="","",HYPERLINK("https://wa.me/"&amp;SUBSTITUTE(SUBSTITUTE(SUBSTITUTE(TEXT(B9,"0"),"+","")," ",""),"-","")&amp;"/?text="&amp;_xludf.ENCODEURL(L9),"💬 Envoyer Message"))</f>
        <v/>
      </c>
    </row>
    <row r="10" spans="1:16" ht="27.95" customHeight="1" x14ac:dyDescent="0.25">
      <c r="A10" s="4"/>
      <c r="B10" s="5"/>
      <c r="C10" s="5"/>
      <c r="D10" s="4"/>
      <c r="E10" s="5"/>
      <c r="F10" s="4"/>
      <c r="G10" s="4"/>
      <c r="H10" s="6"/>
      <c r="I10" s="6"/>
      <c r="J10" s="6">
        <f t="shared" si="0"/>
        <v>0</v>
      </c>
      <c r="K10" s="5"/>
      <c r="L10" s="4" t="str">
        <f t="shared" si="1"/>
        <v/>
      </c>
      <c r="M10" s="5" t="str">
        <f>IF(B10="","",HYPERLINK("https://wa.me/"&amp;SUBSTITUTE(SUBSTITUTE(SUBSTITUTE(TEXT(B10,"0"),"+","")," ",""),"-","")&amp;"/?text="&amp;_xludf.ENCODEURL(L10),"💬 Envoyer Message"))</f>
        <v/>
      </c>
    </row>
    <row r="11" spans="1:16" ht="27.95" customHeight="1" x14ac:dyDescent="0.25">
      <c r="A11" s="7"/>
      <c r="B11" s="8"/>
      <c r="C11" s="8"/>
      <c r="D11" s="7"/>
      <c r="E11" s="8"/>
      <c r="F11" s="7"/>
      <c r="G11" s="7"/>
      <c r="H11" s="9"/>
      <c r="I11" s="9"/>
      <c r="J11" s="9">
        <f t="shared" si="0"/>
        <v>0</v>
      </c>
      <c r="K11" s="8"/>
      <c r="L11" s="7" t="str">
        <f t="shared" si="1"/>
        <v/>
      </c>
      <c r="M11" s="8" t="str">
        <f>IF(B11="","",HYPERLINK("https://wa.me/"&amp;SUBSTITUTE(SUBSTITUTE(SUBSTITUTE(TEXT(B11,"0"),"+","")," ",""),"-","")&amp;"/?text="&amp;_xludf.ENCODEURL(L11),"💬 Envoyer Message"))</f>
        <v/>
      </c>
    </row>
    <row r="12" spans="1:16" ht="27.95" customHeight="1" x14ac:dyDescent="0.25">
      <c r="A12" s="4"/>
      <c r="B12" s="5"/>
      <c r="C12" s="5"/>
      <c r="D12" s="4"/>
      <c r="E12" s="5"/>
      <c r="F12" s="4"/>
      <c r="G12" s="4"/>
      <c r="H12" s="6"/>
      <c r="I12" s="6"/>
      <c r="J12" s="6">
        <f t="shared" si="0"/>
        <v>0</v>
      </c>
      <c r="K12" s="5"/>
      <c r="L12" s="4" t="str">
        <f t="shared" si="1"/>
        <v/>
      </c>
      <c r="M12" s="5" t="str">
        <f>IF(B12="","",HYPERLINK("https://wa.me/"&amp;SUBSTITUTE(SUBSTITUTE(SUBSTITUTE(TEXT(B12,"0"),"+","")," ",""),"-","")&amp;"/?text="&amp;_xludf.ENCODEURL(L12),"💬 Envoyer Message"))</f>
        <v/>
      </c>
    </row>
    <row r="13" spans="1:16" ht="27.95" customHeight="1" x14ac:dyDescent="0.25">
      <c r="A13" s="7"/>
      <c r="B13" s="8"/>
      <c r="C13" s="8"/>
      <c r="D13" s="7"/>
      <c r="E13" s="8"/>
      <c r="F13" s="7"/>
      <c r="G13" s="7"/>
      <c r="H13" s="9"/>
      <c r="I13" s="9"/>
      <c r="J13" s="9">
        <f t="shared" si="0"/>
        <v>0</v>
      </c>
      <c r="K13" s="8"/>
      <c r="L13" s="7" t="str">
        <f t="shared" si="1"/>
        <v/>
      </c>
      <c r="M13" s="8" t="str">
        <f>IF(B13="","",HYPERLINK("https://wa.me/"&amp;SUBSTITUTE(SUBSTITUTE(SUBSTITUTE(TEXT(B13,"0"),"+","")," ",""),"-","")&amp;"/?text="&amp;_xludf.ENCODEURL(L13),"💬 Envoyer Message"))</f>
        <v/>
      </c>
    </row>
    <row r="14" spans="1:16" ht="27.95" customHeight="1" x14ac:dyDescent="0.25">
      <c r="A14" s="4"/>
      <c r="B14" s="5"/>
      <c r="C14" s="5"/>
      <c r="D14" s="4"/>
      <c r="E14" s="5"/>
      <c r="F14" s="4"/>
      <c r="G14" s="4"/>
      <c r="H14" s="6"/>
      <c r="I14" s="6"/>
      <c r="J14" s="6">
        <f t="shared" si="0"/>
        <v>0</v>
      </c>
      <c r="K14" s="5"/>
      <c r="L14" s="4" t="str">
        <f t="shared" si="1"/>
        <v/>
      </c>
      <c r="M14" s="5" t="str">
        <f>IF(B14="","",HYPERLINK("https://wa.me/"&amp;SUBSTITUTE(SUBSTITUTE(SUBSTITUTE(TEXT(B14,"0"),"+","")," ",""),"-","")&amp;"/?text="&amp;_xludf.ENCODEURL(L14),"💬 Envoyer Message"))</f>
        <v/>
      </c>
    </row>
    <row r="15" spans="1:16" ht="27.95" customHeight="1" x14ac:dyDescent="0.25">
      <c r="A15" s="7"/>
      <c r="B15" s="8"/>
      <c r="C15" s="8"/>
      <c r="D15" s="7"/>
      <c r="E15" s="8"/>
      <c r="F15" s="7"/>
      <c r="G15" s="7"/>
      <c r="H15" s="9"/>
      <c r="I15" s="9"/>
      <c r="J15" s="9">
        <f t="shared" si="0"/>
        <v>0</v>
      </c>
      <c r="K15" s="8"/>
      <c r="L15" s="7" t="str">
        <f t="shared" si="1"/>
        <v/>
      </c>
      <c r="M15" s="8" t="str">
        <f>IF(B15="","",HYPERLINK("https://wa.me/"&amp;SUBSTITUTE(SUBSTITUTE(SUBSTITUTE(TEXT(B15,"0"),"+","")," ",""),"-","")&amp;"/?text="&amp;_xludf.ENCODEURL(L15),"💬 Envoyer Message"))</f>
        <v/>
      </c>
    </row>
    <row r="16" spans="1:16" ht="27.95" customHeight="1" x14ac:dyDescent="0.25">
      <c r="A16" s="4"/>
      <c r="B16" s="5"/>
      <c r="C16" s="5"/>
      <c r="D16" s="4"/>
      <c r="E16" s="5"/>
      <c r="F16" s="4"/>
      <c r="G16" s="4"/>
      <c r="H16" s="6"/>
      <c r="I16" s="6"/>
      <c r="J16" s="6">
        <f t="shared" si="0"/>
        <v>0</v>
      </c>
      <c r="K16" s="5"/>
      <c r="L16" s="4" t="str">
        <f t="shared" si="1"/>
        <v/>
      </c>
      <c r="M16" s="5" t="str">
        <f>IF(B16="","",HYPERLINK("https://wa.me/"&amp;SUBSTITUTE(SUBSTITUTE(SUBSTITUTE(TEXT(B16,"0"),"+","")," ",""),"-","")&amp;"/?text="&amp;_xludf.ENCODEURL(L16),"💬 Envoyer Message"))</f>
        <v/>
      </c>
    </row>
    <row r="17" spans="1:13" ht="27.95" customHeight="1" x14ac:dyDescent="0.25">
      <c r="A17" s="7"/>
      <c r="B17" s="8"/>
      <c r="C17" s="8"/>
      <c r="D17" s="7"/>
      <c r="E17" s="8"/>
      <c r="F17" s="7"/>
      <c r="G17" s="7"/>
      <c r="H17" s="9"/>
      <c r="I17" s="9"/>
      <c r="J17" s="9">
        <f t="shared" si="0"/>
        <v>0</v>
      </c>
      <c r="K17" s="8"/>
      <c r="L17" s="7" t="str">
        <f t="shared" si="1"/>
        <v/>
      </c>
      <c r="M17" s="8" t="str">
        <f>IF(B17="","",HYPERLINK("https://wa.me/"&amp;SUBSTITUTE(SUBSTITUTE(SUBSTITUTE(TEXT(B17,"0"),"+","")," ",""),"-","")&amp;"/?text="&amp;_xludf.ENCODEURL(L17),"💬 Envoyer Message"))</f>
        <v/>
      </c>
    </row>
    <row r="18" spans="1:13" ht="27.95" customHeight="1" x14ac:dyDescent="0.25">
      <c r="A18" s="4"/>
      <c r="B18" s="5"/>
      <c r="C18" s="5"/>
      <c r="D18" s="4"/>
      <c r="E18" s="5"/>
      <c r="F18" s="4"/>
      <c r="G18" s="4"/>
      <c r="H18" s="6"/>
      <c r="I18" s="6"/>
      <c r="J18" s="6">
        <f t="shared" si="0"/>
        <v>0</v>
      </c>
      <c r="K18" s="5"/>
      <c r="L18" s="4" t="str">
        <f t="shared" si="1"/>
        <v/>
      </c>
      <c r="M18" s="5" t="str">
        <f>IF(B18="","",HYPERLINK("https://wa.me/"&amp;SUBSTITUTE(SUBSTITUTE(SUBSTITUTE(TEXT(B18,"0"),"+","")," ",""),"-","")&amp;"/?text="&amp;_xludf.ENCODEURL(L18),"💬 Envoyer Message"))</f>
        <v/>
      </c>
    </row>
    <row r="19" spans="1:13" ht="27.95" customHeight="1" x14ac:dyDescent="0.25">
      <c r="A19" s="7"/>
      <c r="B19" s="8"/>
      <c r="C19" s="8"/>
      <c r="D19" s="7"/>
      <c r="E19" s="8"/>
      <c r="F19" s="7"/>
      <c r="G19" s="7"/>
      <c r="H19" s="9"/>
      <c r="I19" s="9"/>
      <c r="J19" s="9">
        <f t="shared" si="0"/>
        <v>0</v>
      </c>
      <c r="K19" s="8"/>
      <c r="L19" s="7" t="str">
        <f t="shared" si="1"/>
        <v/>
      </c>
      <c r="M19" s="8" t="str">
        <f>IF(B19="","",HYPERLINK("https://wa.me/"&amp;SUBSTITUTE(SUBSTITUTE(SUBSTITUTE(TEXT(B19,"0"),"+","")," ",""),"-","")&amp;"/?text="&amp;_xludf.ENCODEURL(L19),"💬 Envoyer Message"))</f>
        <v/>
      </c>
    </row>
    <row r="20" spans="1:13" ht="27.95" customHeight="1" x14ac:dyDescent="0.25">
      <c r="A20" s="4"/>
      <c r="B20" s="5"/>
      <c r="C20" s="5"/>
      <c r="D20" s="4"/>
      <c r="E20" s="5"/>
      <c r="F20" s="4"/>
      <c r="G20" s="4"/>
      <c r="H20" s="6"/>
      <c r="I20" s="6"/>
      <c r="J20" s="6">
        <f t="shared" si="0"/>
        <v>0</v>
      </c>
      <c r="K20" s="5"/>
      <c r="L20" s="4" t="str">
        <f t="shared" si="1"/>
        <v/>
      </c>
      <c r="M20" s="5" t="str">
        <f>IF(B20="","",HYPERLINK("https://wa.me/"&amp;SUBSTITUTE(SUBSTITUTE(SUBSTITUTE(TEXT(B20,"0"),"+","")," ",""),"-","")&amp;"/?text="&amp;_xludf.ENCODEURL(L20),"💬 Envoyer Message"))</f>
        <v/>
      </c>
    </row>
    <row r="21" spans="1:13" ht="27.95" customHeight="1" x14ac:dyDescent="0.25">
      <c r="A21" s="7"/>
      <c r="B21" s="8"/>
      <c r="C21" s="8"/>
      <c r="D21" s="7"/>
      <c r="E21" s="8"/>
      <c r="F21" s="7"/>
      <c r="G21" s="7"/>
      <c r="H21" s="9"/>
      <c r="I21" s="9"/>
      <c r="J21" s="9">
        <f t="shared" si="0"/>
        <v>0</v>
      </c>
      <c r="K21" s="8"/>
      <c r="L21" s="7" t="str">
        <f t="shared" si="1"/>
        <v/>
      </c>
      <c r="M21" s="8" t="str">
        <f>IF(B21="","",HYPERLINK("https://wa.me/"&amp;SUBSTITUTE(SUBSTITUTE(SUBSTITUTE(TEXT(B21,"0"),"+","")," ",""),"-","")&amp;"/?text="&amp;_xludf.ENCODEURL(L21),"💬 Envoyer Message"))</f>
        <v/>
      </c>
    </row>
    <row r="22" spans="1:13" ht="27.95" customHeight="1" x14ac:dyDescent="0.25">
      <c r="A22" s="4"/>
      <c r="B22" s="5"/>
      <c r="C22" s="5"/>
      <c r="D22" s="4"/>
      <c r="E22" s="5"/>
      <c r="F22" s="4"/>
      <c r="G22" s="4"/>
      <c r="H22" s="6"/>
      <c r="I22" s="6"/>
      <c r="J22" s="6">
        <f t="shared" si="0"/>
        <v>0</v>
      </c>
      <c r="K22" s="5"/>
      <c r="L22" s="4" t="str">
        <f t="shared" si="1"/>
        <v/>
      </c>
      <c r="M22" s="5" t="str">
        <f>IF(B22="","",HYPERLINK("https://wa.me/"&amp;SUBSTITUTE(SUBSTITUTE(SUBSTITUTE(TEXT(B22,"0"),"+","")," ",""),"-","")&amp;"/?text="&amp;_xludf.ENCODEURL(L22),"💬 Envoyer Message"))</f>
        <v/>
      </c>
    </row>
    <row r="23" spans="1:13" ht="27.95" customHeight="1" x14ac:dyDescent="0.25">
      <c r="A23" s="7"/>
      <c r="B23" s="8"/>
      <c r="C23" s="8"/>
      <c r="D23" s="7"/>
      <c r="E23" s="8"/>
      <c r="F23" s="7"/>
      <c r="G23" s="7"/>
      <c r="H23" s="9"/>
      <c r="I23" s="9"/>
      <c r="J23" s="9">
        <f t="shared" si="0"/>
        <v>0</v>
      </c>
      <c r="K23" s="8"/>
      <c r="L23" s="7" t="str">
        <f t="shared" si="1"/>
        <v/>
      </c>
      <c r="M23" s="8" t="str">
        <f>IF(B23="","",HYPERLINK("https://wa.me/"&amp;SUBSTITUTE(SUBSTITUTE(SUBSTITUTE(TEXT(B23,"0"),"+","")," ",""),"-","")&amp;"/?text="&amp;_xludf.ENCODEURL(L23),"💬 Envoyer Message"))</f>
        <v/>
      </c>
    </row>
    <row r="24" spans="1:13" ht="27.95" customHeight="1" x14ac:dyDescent="0.25">
      <c r="A24" s="4"/>
      <c r="B24" s="5"/>
      <c r="C24" s="5"/>
      <c r="D24" s="4"/>
      <c r="E24" s="5"/>
      <c r="F24" s="4"/>
      <c r="G24" s="4"/>
      <c r="H24" s="6"/>
      <c r="I24" s="6"/>
      <c r="J24" s="6">
        <f t="shared" si="0"/>
        <v>0</v>
      </c>
      <c r="K24" s="5"/>
      <c r="L24" s="4" t="str">
        <f t="shared" si="1"/>
        <v/>
      </c>
      <c r="M24" s="5" t="str">
        <f>IF(B24="","",HYPERLINK("https://wa.me/"&amp;SUBSTITUTE(SUBSTITUTE(SUBSTITUTE(TEXT(B24,"0"),"+","")," ",""),"-","")&amp;"/?text="&amp;_xludf.ENCODEURL(L24),"💬 Envoyer Message"))</f>
        <v/>
      </c>
    </row>
    <row r="25" spans="1:13" ht="27.95" customHeight="1" x14ac:dyDescent="0.25">
      <c r="A25" s="7"/>
      <c r="B25" s="8"/>
      <c r="C25" s="8"/>
      <c r="D25" s="7"/>
      <c r="E25" s="8"/>
      <c r="F25" s="7"/>
      <c r="G25" s="7"/>
      <c r="H25" s="9"/>
      <c r="I25" s="9"/>
      <c r="J25" s="9">
        <f t="shared" si="0"/>
        <v>0</v>
      </c>
      <c r="K25" s="8"/>
      <c r="L25" s="7" t="str">
        <f t="shared" si="1"/>
        <v/>
      </c>
      <c r="M25" s="8" t="str">
        <f>IF(B25="","",HYPERLINK("https://wa.me/"&amp;SUBSTITUTE(SUBSTITUTE(SUBSTITUTE(TEXT(B25,"0"),"+","")," ",""),"-","")&amp;"/?text="&amp;_xludf.ENCODEURL(L25),"💬 Envoyer Message"))</f>
        <v/>
      </c>
    </row>
    <row r="26" spans="1:13" ht="27.95" customHeight="1" x14ac:dyDescent="0.25">
      <c r="A26" s="4"/>
      <c r="B26" s="5"/>
      <c r="C26" s="5"/>
      <c r="D26" s="4"/>
      <c r="E26" s="5"/>
      <c r="F26" s="4"/>
      <c r="G26" s="4"/>
      <c r="H26" s="6"/>
      <c r="I26" s="6"/>
      <c r="J26" s="6">
        <f t="shared" si="0"/>
        <v>0</v>
      </c>
      <c r="K26" s="5"/>
      <c r="L26" s="4" t="str">
        <f t="shared" si="1"/>
        <v/>
      </c>
      <c r="M26" s="5" t="str">
        <f>IF(B26="","",HYPERLINK("https://wa.me/"&amp;SUBSTITUTE(SUBSTITUTE(SUBSTITUTE(TEXT(B26,"0"),"+","")," ",""),"-","")&amp;"/?text="&amp;_xludf.ENCODEURL(L26),"💬 Envoyer Message"))</f>
        <v/>
      </c>
    </row>
    <row r="27" spans="1:13" ht="27.95" customHeight="1" x14ac:dyDescent="0.25">
      <c r="A27" s="7"/>
      <c r="B27" s="8"/>
      <c r="C27" s="8"/>
      <c r="D27" s="7"/>
      <c r="E27" s="8"/>
      <c r="F27" s="7"/>
      <c r="G27" s="7"/>
      <c r="H27" s="9"/>
      <c r="I27" s="9"/>
      <c r="J27" s="9">
        <f t="shared" si="0"/>
        <v>0</v>
      </c>
      <c r="K27" s="8"/>
      <c r="L27" s="7" t="str">
        <f t="shared" si="1"/>
        <v/>
      </c>
      <c r="M27" s="8" t="str">
        <f>IF(B27="","",HYPERLINK("https://wa.me/"&amp;SUBSTITUTE(SUBSTITUTE(SUBSTITUTE(TEXT(B27,"0"),"+","")," ",""),"-","")&amp;"/?text="&amp;_xludf.ENCODEURL(L27),"💬 Envoyer Message"))</f>
        <v/>
      </c>
    </row>
  </sheetData>
  <mergeCells count="13">
    <mergeCell ref="A4:B4"/>
    <mergeCell ref="G4:H4"/>
    <mergeCell ref="E4:F4"/>
    <mergeCell ref="I4:M4"/>
    <mergeCell ref="A1:M1"/>
    <mergeCell ref="A2:M2"/>
    <mergeCell ref="C4:D4"/>
    <mergeCell ref="O8:P8"/>
    <mergeCell ref="C5:D5"/>
    <mergeCell ref="A5:B5"/>
    <mergeCell ref="G5:H5"/>
    <mergeCell ref="E5:F5"/>
    <mergeCell ref="I5:M5"/>
  </mergeCells>
  <dataValidations count="3">
    <dataValidation type="list" allowBlank="1" sqref="E8:E50" xr:uid="{00000000-0002-0000-0100-000000000000}">
      <formula1>"0% - Non débuté, 25% - En rédaction, 50% - Relecture, 75% - En révision, 100% - Terminé"</formula1>
    </dataValidation>
    <dataValidation type="list" allowBlank="1" sqref="K8:K50" xr:uid="{00000000-0002-0000-0100-000001000000}">
      <formula1>"Oui, Non, En cours"</formula1>
    </dataValidation>
    <dataValidation type="list" allowBlank="1" showInputMessage="1" showErrorMessage="1" sqref="F8:F200" xr:uid="{00000000-0002-0000-0100-000002000000}">
      <formula1>"Site web envoyé,Déjà relancé sans suite, CR déjà envoyé"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3000000}">
          <x14:formula1>
            <xm:f>Parametres!$A$2:$A$55</xm:f>
          </x14:formula1>
          <xm:sqref>C8:C50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200"/>
  <sheetViews>
    <sheetView workbookViewId="0">
      <selection activeCell="G1" sqref="G1"/>
    </sheetView>
  </sheetViews>
  <sheetFormatPr baseColWidth="10" defaultColWidth="9.140625" defaultRowHeight="15" x14ac:dyDescent="0.25"/>
  <cols>
    <col min="1" max="1" width="25" style="2" customWidth="1"/>
    <col min="2" max="2" width="21" style="2" customWidth="1"/>
    <col min="3" max="3" width="20" style="2" customWidth="1"/>
    <col min="4" max="4" width="35" style="2" customWidth="1"/>
    <col min="5" max="5" width="22" style="2" customWidth="1"/>
    <col min="6" max="7" width="30" style="2" customWidth="1"/>
    <col min="8" max="8" width="18.5703125" style="2" customWidth="1"/>
    <col min="9" max="10" width="18" style="2" customWidth="1"/>
    <col min="11" max="11" width="15" style="2" customWidth="1"/>
    <col min="12" max="12" width="42" style="2" customWidth="1"/>
    <col min="13" max="13" width="22" style="2" customWidth="1"/>
    <col min="14" max="16384" width="9.140625" style="2"/>
  </cols>
  <sheetData>
    <row r="1" spans="1:17" ht="35.1" customHeight="1" x14ac:dyDescent="0.25">
      <c r="A1" s="10" t="s">
        <v>75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7" ht="20.100000000000001" customHeight="1" x14ac:dyDescent="0.25">
      <c r="A2" s="79" t="s">
        <v>56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</row>
    <row r="4" spans="1:17" ht="15.95" customHeight="1" x14ac:dyDescent="0.25">
      <c r="A4" s="76" t="s">
        <v>57</v>
      </c>
      <c r="B4" s="73"/>
      <c r="C4" s="76" t="s">
        <v>58</v>
      </c>
      <c r="D4" s="73"/>
      <c r="E4" s="76" t="s">
        <v>59</v>
      </c>
      <c r="F4" s="73"/>
      <c r="G4" s="76" t="s">
        <v>60</v>
      </c>
      <c r="H4" s="73"/>
      <c r="I4" s="76" t="s">
        <v>61</v>
      </c>
      <c r="J4" s="73"/>
      <c r="K4" s="73"/>
      <c r="L4" s="73"/>
      <c r="M4" s="73"/>
    </row>
    <row r="5" spans="1:17" ht="27.95" customHeight="1" x14ac:dyDescent="0.25">
      <c r="A5" s="74">
        <f>COUNTA(A8:A30)</f>
        <v>0</v>
      </c>
      <c r="B5" s="73"/>
      <c r="C5" s="72">
        <f>SUM(H8:H30)</f>
        <v>3550000</v>
      </c>
      <c r="D5" s="73"/>
      <c r="E5" s="72">
        <f>SUM(I8:I30)</f>
        <v>0</v>
      </c>
      <c r="F5" s="73"/>
      <c r="G5" s="72">
        <f>SUM(J8:J30)</f>
        <v>3550000</v>
      </c>
      <c r="H5" s="73"/>
      <c r="I5" s="75">
        <f>IF(C5&gt;0, E5/C5, 0)</f>
        <v>0</v>
      </c>
      <c r="J5" s="73"/>
      <c r="K5" s="73"/>
      <c r="L5" s="73"/>
      <c r="M5" s="73"/>
    </row>
    <row r="7" spans="1:17" ht="27.95" customHeight="1" x14ac:dyDescent="0.25">
      <c r="A7" s="18" t="s">
        <v>132</v>
      </c>
      <c r="B7" s="13" t="s">
        <v>133</v>
      </c>
      <c r="C7" s="13" t="s">
        <v>64</v>
      </c>
      <c r="D7" s="13" t="s">
        <v>65</v>
      </c>
      <c r="E7" s="13" t="s">
        <v>66</v>
      </c>
      <c r="F7" s="13" t="s">
        <v>67</v>
      </c>
      <c r="G7" s="13" t="s">
        <v>68</v>
      </c>
      <c r="H7" s="13" t="s">
        <v>69</v>
      </c>
      <c r="I7" s="13" t="s">
        <v>70</v>
      </c>
      <c r="J7" s="13" t="s">
        <v>71</v>
      </c>
      <c r="K7" s="13" t="s">
        <v>72</v>
      </c>
      <c r="L7" s="13" t="s">
        <v>73</v>
      </c>
      <c r="M7" s="14" t="s">
        <v>74</v>
      </c>
      <c r="N7" s="13" t="s">
        <v>167</v>
      </c>
      <c r="O7" s="13" t="s">
        <v>168</v>
      </c>
      <c r="P7" s="13" t="s">
        <v>169</v>
      </c>
      <c r="Q7" s="13" t="s">
        <v>170</v>
      </c>
    </row>
    <row r="8" spans="1:17" ht="27.95" customHeight="1" x14ac:dyDescent="0.25">
      <c r="A8" s="19"/>
      <c r="B8" s="15"/>
      <c r="C8" s="5" t="s">
        <v>12</v>
      </c>
      <c r="D8" s="4"/>
      <c r="E8" s="5" t="s">
        <v>80</v>
      </c>
      <c r="F8" s="4" t="s">
        <v>121</v>
      </c>
      <c r="G8" s="4" t="s">
        <v>129</v>
      </c>
      <c r="H8" s="6">
        <f t="shared" ref="H8:H39" si="0">IF(C8="Cameroun", 75000, IF(OR(C8="Gabon", C8="Congo (RDC)", C8="Congo", C8="Tchad", C8="RCA", C8="Guinée Équatoriale"), 150000, IF(C8&lt;&gt;"", 200000, 250000)))</f>
        <v>150000</v>
      </c>
      <c r="I8" s="6"/>
      <c r="J8" s="6">
        <f t="shared" ref="J8:J39" si="1">H8-I8</f>
        <v>150000</v>
      </c>
      <c r="K8" s="5"/>
      <c r="L8" s="4" t="e">
        <f t="shared" ref="L8" si="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8" s="11" t="e">
        <f t="shared" ref="M8" si="3">IF(#REF!="","","https://wa.me/"&amp;SUBSTITUTE(SUBSTITUTE(SUBSTITUTE(#REF!,"+","")," ",""),"-","")&amp;"?text="&amp;SUBSTITUTE(L8," ","%20"))</f>
        <v>#REF!</v>
      </c>
      <c r="N8" s="25" t="e">
        <f t="shared" ref="N8:N39" si="4">L8-M8</f>
        <v>#REF!</v>
      </c>
      <c r="O8" s="26"/>
      <c r="P8" s="27" t="str">
        <f t="shared" ref="P8:P23" si="5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8" s="28" t="str">
        <f t="shared" ref="Q8:Q39" si="6">IF(B8="","","https://wa.me/"&amp;SUBSTITUTE(SUBSTITUTE(SUBSTITUTE(B8,"+","")," ",""),"-","")&amp;"?text="&amp;SUBSTITUTE(P8," ","%20"))</f>
        <v/>
      </c>
    </row>
    <row r="9" spans="1:17" ht="27.95" customHeight="1" x14ac:dyDescent="0.25">
      <c r="A9" s="20"/>
      <c r="B9" s="16"/>
      <c r="C9" s="8" t="s">
        <v>9</v>
      </c>
      <c r="D9" s="7"/>
      <c r="E9" s="8" t="s">
        <v>76</v>
      </c>
      <c r="F9" s="7" t="s">
        <v>143</v>
      </c>
      <c r="G9" s="7" t="s">
        <v>126</v>
      </c>
      <c r="H9" s="9">
        <f t="shared" si="0"/>
        <v>75000</v>
      </c>
      <c r="I9" s="9"/>
      <c r="J9" s="9">
        <f t="shared" si="1"/>
        <v>75000</v>
      </c>
      <c r="K9" s="8"/>
      <c r="L9" s="7" t="e">
        <f t="shared" ref="L9" si="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9" s="12" t="e">
        <f t="shared" ref="M9" si="8">IF(#REF!="","","https://wa.me/"&amp;SUBSTITUTE(SUBSTITUTE(SUBSTITUTE(#REF!,"+","")," ",""),"-","")&amp;"?text="&amp;SUBSTITUTE(L9," ","%20"))</f>
        <v>#REF!</v>
      </c>
      <c r="N9" s="29" t="e">
        <f t="shared" si="4"/>
        <v>#REF!</v>
      </c>
      <c r="O9" s="30"/>
      <c r="P9" s="31" t="str">
        <f t="shared" si="5"/>
        <v/>
      </c>
      <c r="Q9" s="32" t="str">
        <f t="shared" si="6"/>
        <v/>
      </c>
    </row>
    <row r="10" spans="1:17" ht="27.95" customHeight="1" x14ac:dyDescent="0.25">
      <c r="A10" s="19"/>
      <c r="B10" s="15"/>
      <c r="C10" s="5" t="s">
        <v>12</v>
      </c>
      <c r="D10" s="4"/>
      <c r="E10" s="5" t="s">
        <v>78</v>
      </c>
      <c r="F10" s="4"/>
      <c r="G10" s="4" t="s">
        <v>140</v>
      </c>
      <c r="H10" s="6">
        <f t="shared" si="0"/>
        <v>150000</v>
      </c>
      <c r="I10" s="6"/>
      <c r="J10" s="6">
        <f t="shared" si="1"/>
        <v>150000</v>
      </c>
      <c r="K10" s="5"/>
      <c r="L10" s="4" t="e">
        <f t="shared" ref="L10" si="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0" s="11" t="e">
        <f t="shared" ref="M10" si="10">IF(#REF!="","","https://wa.me/"&amp;SUBSTITUTE(SUBSTITUTE(SUBSTITUTE(#REF!,"+","")," ",""),"-","")&amp;"?text="&amp;SUBSTITUTE(L10," ","%20"))</f>
        <v>#REF!</v>
      </c>
      <c r="N10" s="25" t="e">
        <f t="shared" si="4"/>
        <v>#REF!</v>
      </c>
      <c r="O10" s="26"/>
      <c r="P10" s="27" t="str">
        <f t="shared" si="5"/>
        <v/>
      </c>
      <c r="Q10" s="28" t="str">
        <f t="shared" si="6"/>
        <v/>
      </c>
    </row>
    <row r="11" spans="1:17" ht="27.95" customHeight="1" x14ac:dyDescent="0.25">
      <c r="A11" s="20"/>
      <c r="B11" s="16"/>
      <c r="C11" s="8" t="s">
        <v>50</v>
      </c>
      <c r="D11" s="7"/>
      <c r="E11" s="8" t="s">
        <v>80</v>
      </c>
      <c r="F11" s="7"/>
      <c r="G11" s="7"/>
      <c r="H11" s="9">
        <f t="shared" si="0"/>
        <v>150000</v>
      </c>
      <c r="I11" s="9"/>
      <c r="J11" s="9">
        <f t="shared" si="1"/>
        <v>150000</v>
      </c>
      <c r="K11" s="8"/>
      <c r="L11" s="7" t="e">
        <f t="shared" ref="L11" si="1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1" s="12" t="e">
        <f t="shared" ref="M11" si="12">IF(#REF!="","","https://wa.me/"&amp;SUBSTITUTE(SUBSTITUTE(SUBSTITUTE(#REF!,"+","")," ",""),"-","")&amp;"?text="&amp;SUBSTITUTE(L11," ","%20"))</f>
        <v>#REF!</v>
      </c>
      <c r="N11" s="29" t="e">
        <f t="shared" si="4"/>
        <v>#REF!</v>
      </c>
      <c r="O11" s="30"/>
      <c r="P11" s="31" t="str">
        <f t="shared" si="5"/>
        <v/>
      </c>
      <c r="Q11" s="32" t="str">
        <f t="shared" si="6"/>
        <v/>
      </c>
    </row>
    <row r="12" spans="1:17" ht="27.95" customHeight="1" x14ac:dyDescent="0.25">
      <c r="A12" s="19"/>
      <c r="B12" s="15"/>
      <c r="C12" s="5" t="s">
        <v>12</v>
      </c>
      <c r="D12" s="4"/>
      <c r="E12" s="5" t="s">
        <v>76</v>
      </c>
      <c r="F12" s="4"/>
      <c r="G12" s="4"/>
      <c r="H12" s="6">
        <f t="shared" si="0"/>
        <v>150000</v>
      </c>
      <c r="I12" s="6"/>
      <c r="J12" s="6">
        <f t="shared" si="1"/>
        <v>150000</v>
      </c>
      <c r="K12" s="5"/>
      <c r="L12" s="4" t="e">
        <f t="shared" ref="L12" si="1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2" s="11" t="e">
        <f t="shared" ref="M12" si="14">IF(#REF!="","","https://wa.me/"&amp;SUBSTITUTE(SUBSTITUTE(SUBSTITUTE(#REF!,"+","")," ",""),"-","")&amp;"?text="&amp;SUBSTITUTE(L12," ","%20"))</f>
        <v>#REF!</v>
      </c>
      <c r="N12" s="25" t="e">
        <f t="shared" si="4"/>
        <v>#REF!</v>
      </c>
      <c r="O12" s="26"/>
      <c r="P12" s="27" t="str">
        <f t="shared" si="5"/>
        <v/>
      </c>
      <c r="Q12" s="28" t="str">
        <f t="shared" si="6"/>
        <v/>
      </c>
    </row>
    <row r="13" spans="1:17" ht="27.95" customHeight="1" x14ac:dyDescent="0.25">
      <c r="A13" s="20"/>
      <c r="B13" s="16"/>
      <c r="C13" s="8" t="s">
        <v>32</v>
      </c>
      <c r="D13" s="7"/>
      <c r="E13" s="8" t="s">
        <v>76</v>
      </c>
      <c r="F13" s="7"/>
      <c r="G13" s="7"/>
      <c r="H13" s="9">
        <f t="shared" si="0"/>
        <v>200000</v>
      </c>
      <c r="I13" s="9"/>
      <c r="J13" s="9">
        <f t="shared" si="1"/>
        <v>200000</v>
      </c>
      <c r="K13" s="8"/>
      <c r="L13" s="7" t="e">
        <f t="shared" ref="L13" si="1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3" s="12" t="e">
        <f t="shared" ref="M13" si="16">IF(#REF!="","","https://wa.me/"&amp;SUBSTITUTE(SUBSTITUTE(SUBSTITUTE(#REF!,"+","")," ",""),"-","")&amp;"?text="&amp;SUBSTITUTE(L13," ","%20"))</f>
        <v>#REF!</v>
      </c>
      <c r="N13" s="29" t="e">
        <f t="shared" si="4"/>
        <v>#REF!</v>
      </c>
      <c r="O13" s="30"/>
      <c r="P13" s="31" t="str">
        <f t="shared" si="5"/>
        <v/>
      </c>
      <c r="Q13" s="32" t="str">
        <f t="shared" si="6"/>
        <v/>
      </c>
    </row>
    <row r="14" spans="1:17" ht="27.95" customHeight="1" x14ac:dyDescent="0.25">
      <c r="A14" s="19"/>
      <c r="B14" s="15"/>
      <c r="C14" s="5" t="s">
        <v>2</v>
      </c>
      <c r="D14" s="4"/>
      <c r="E14" s="5" t="s">
        <v>76</v>
      </c>
      <c r="F14" s="4"/>
      <c r="G14" s="4"/>
      <c r="H14" s="6">
        <f t="shared" si="0"/>
        <v>200000</v>
      </c>
      <c r="I14" s="6"/>
      <c r="J14" s="6">
        <f t="shared" si="1"/>
        <v>200000</v>
      </c>
      <c r="K14" s="5"/>
      <c r="L14" s="4" t="e">
        <f t="shared" ref="L14" si="1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4" s="11" t="e">
        <f t="shared" ref="M14" si="18">IF(#REF!="","","https://wa.me/"&amp;SUBSTITUTE(SUBSTITUTE(SUBSTITUTE(#REF!,"+","")," ",""),"-","")&amp;"?text="&amp;SUBSTITUTE(L14," ","%20"))</f>
        <v>#REF!</v>
      </c>
      <c r="N14" s="25" t="e">
        <f t="shared" si="4"/>
        <v>#REF!</v>
      </c>
      <c r="O14" s="26"/>
      <c r="P14" s="27" t="str">
        <f t="shared" si="5"/>
        <v/>
      </c>
      <c r="Q14" s="28" t="str">
        <f t="shared" si="6"/>
        <v/>
      </c>
    </row>
    <row r="15" spans="1:17" ht="27.95" customHeight="1" x14ac:dyDescent="0.25">
      <c r="A15" s="20"/>
      <c r="B15" s="16"/>
      <c r="C15" s="8"/>
      <c r="D15" s="7"/>
      <c r="E15" s="8"/>
      <c r="F15" s="7"/>
      <c r="G15" s="7"/>
      <c r="H15" s="9">
        <f t="shared" si="0"/>
        <v>250000</v>
      </c>
      <c r="I15" s="9"/>
      <c r="J15" s="9">
        <f t="shared" si="1"/>
        <v>250000</v>
      </c>
      <c r="K15" s="8"/>
      <c r="L15" s="7" t="e">
        <f t="shared" ref="L15" si="1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5" s="12" t="e">
        <f t="shared" ref="M15" si="20">IF(#REF!="","","https://wa.me/"&amp;SUBSTITUTE(SUBSTITUTE(SUBSTITUTE(#REF!,"+","")," ",""),"-","")&amp;"?text="&amp;SUBSTITUTE(L15," ","%20"))</f>
        <v>#REF!</v>
      </c>
      <c r="N15" s="29" t="e">
        <f t="shared" si="4"/>
        <v>#REF!</v>
      </c>
      <c r="O15" s="30"/>
      <c r="P15" s="31" t="str">
        <f t="shared" si="5"/>
        <v/>
      </c>
      <c r="Q15" s="32" t="str">
        <f t="shared" si="6"/>
        <v/>
      </c>
    </row>
    <row r="16" spans="1:17" ht="27.95" customHeight="1" x14ac:dyDescent="0.25">
      <c r="A16" s="19"/>
      <c r="B16" s="15"/>
      <c r="C16" s="5" t="s">
        <v>50</v>
      </c>
      <c r="D16" s="4"/>
      <c r="E16" s="5" t="s">
        <v>78</v>
      </c>
      <c r="F16" s="4"/>
      <c r="G16" s="4"/>
      <c r="H16" s="6">
        <f t="shared" si="0"/>
        <v>150000</v>
      </c>
      <c r="I16" s="6"/>
      <c r="J16" s="6">
        <f t="shared" si="1"/>
        <v>150000</v>
      </c>
      <c r="K16" s="5"/>
      <c r="L16" s="4" t="e">
        <f t="shared" ref="L16" si="2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6" s="11" t="e">
        <f t="shared" ref="M16" si="22">IF(#REF!="","","https://wa.me/"&amp;SUBSTITUTE(SUBSTITUTE(SUBSTITUTE(#REF!,"+","")," ",""),"-","")&amp;"?text="&amp;SUBSTITUTE(L16," ","%20"))</f>
        <v>#REF!</v>
      </c>
      <c r="N16" s="25" t="e">
        <f t="shared" si="4"/>
        <v>#REF!</v>
      </c>
      <c r="O16" s="26"/>
      <c r="P16" s="27" t="str">
        <f t="shared" si="5"/>
        <v/>
      </c>
      <c r="Q16" s="28" t="str">
        <f t="shared" si="6"/>
        <v/>
      </c>
    </row>
    <row r="17" spans="1:17" ht="27.95" customHeight="1" x14ac:dyDescent="0.25">
      <c r="A17" s="20"/>
      <c r="B17" s="16"/>
      <c r="C17" s="8" t="s">
        <v>51</v>
      </c>
      <c r="D17" s="7"/>
      <c r="E17" s="8" t="s">
        <v>78</v>
      </c>
      <c r="F17" s="7"/>
      <c r="G17" s="7"/>
      <c r="H17" s="9">
        <f t="shared" si="0"/>
        <v>200000</v>
      </c>
      <c r="I17" s="9"/>
      <c r="J17" s="9">
        <f t="shared" si="1"/>
        <v>200000</v>
      </c>
      <c r="K17" s="8"/>
      <c r="L17" s="4" t="e">
        <f t="shared" ref="L17" si="2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7" s="11" t="e">
        <f t="shared" ref="M17" si="24">IF(#REF!="","","https://wa.me/"&amp;SUBSTITUTE(SUBSTITUTE(SUBSTITUTE(#REF!,"+","")," ",""),"-","")&amp;"?text="&amp;SUBSTITUTE(L17," ","%20"))</f>
        <v>#REF!</v>
      </c>
      <c r="N17" s="29" t="e">
        <f t="shared" si="4"/>
        <v>#REF!</v>
      </c>
      <c r="O17" s="30"/>
      <c r="P17" s="27" t="str">
        <f t="shared" si="5"/>
        <v/>
      </c>
      <c r="Q17" s="28" t="str">
        <f t="shared" si="6"/>
        <v/>
      </c>
    </row>
    <row r="18" spans="1:17" ht="27.95" customHeight="1" x14ac:dyDescent="0.25">
      <c r="A18" s="19"/>
      <c r="B18" s="15"/>
      <c r="C18" s="5" t="s">
        <v>12</v>
      </c>
      <c r="D18" s="4"/>
      <c r="E18" s="5" t="s">
        <v>78</v>
      </c>
      <c r="F18" s="4"/>
      <c r="G18" s="4"/>
      <c r="H18" s="6">
        <f t="shared" si="0"/>
        <v>150000</v>
      </c>
      <c r="I18" s="6"/>
      <c r="J18" s="6">
        <f t="shared" si="1"/>
        <v>150000</v>
      </c>
      <c r="K18" s="5"/>
      <c r="L18" s="4" t="e">
        <f t="shared" ref="L18" si="2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8" s="11" t="e">
        <f t="shared" ref="M18" si="26">IF(#REF!="","","https://wa.me/"&amp;SUBSTITUTE(SUBSTITUTE(SUBSTITUTE(#REF!,"+","")," ",""),"-","")&amp;"?text="&amp;SUBSTITUTE(L18," ","%20"))</f>
        <v>#REF!</v>
      </c>
      <c r="N18" s="25" t="e">
        <f t="shared" si="4"/>
        <v>#REF!</v>
      </c>
      <c r="O18" s="26"/>
      <c r="P18" s="27" t="str">
        <f t="shared" si="5"/>
        <v/>
      </c>
      <c r="Q18" s="28" t="str">
        <f t="shared" si="6"/>
        <v/>
      </c>
    </row>
    <row r="19" spans="1:17" ht="27.95" customHeight="1" x14ac:dyDescent="0.25">
      <c r="A19" s="20"/>
      <c r="B19" s="16"/>
      <c r="C19" s="8" t="s">
        <v>12</v>
      </c>
      <c r="D19" s="7"/>
      <c r="E19" s="8"/>
      <c r="F19" s="7"/>
      <c r="G19" s="7"/>
      <c r="H19" s="9">
        <f t="shared" si="0"/>
        <v>150000</v>
      </c>
      <c r="I19" s="9"/>
      <c r="J19" s="9">
        <f t="shared" si="1"/>
        <v>150000</v>
      </c>
      <c r="K19" s="8"/>
      <c r="L19" s="4" t="e">
        <f t="shared" ref="L19" si="27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19" s="11" t="e">
        <f t="shared" ref="M19" si="28">IF(#REF!="","","https://wa.me/"&amp;SUBSTITUTE(SUBSTITUTE(SUBSTITUTE(#REF!,"+","")," ",""),"-","")&amp;"?text="&amp;SUBSTITUTE(L19," ","%20"))</f>
        <v>#REF!</v>
      </c>
      <c r="N19" s="29" t="e">
        <f t="shared" si="4"/>
        <v>#REF!</v>
      </c>
      <c r="O19" s="30"/>
      <c r="P19" s="27" t="str">
        <f t="shared" si="5"/>
        <v/>
      </c>
      <c r="Q19" s="28" t="str">
        <f t="shared" si="6"/>
        <v/>
      </c>
    </row>
    <row r="20" spans="1:17" ht="27.95" customHeight="1" x14ac:dyDescent="0.25">
      <c r="A20" s="19"/>
      <c r="B20" s="15"/>
      <c r="C20" s="5" t="s">
        <v>9</v>
      </c>
      <c r="D20" s="4"/>
      <c r="E20" s="5" t="s">
        <v>78</v>
      </c>
      <c r="F20" s="4"/>
      <c r="G20" s="4"/>
      <c r="H20" s="6">
        <f t="shared" si="0"/>
        <v>75000</v>
      </c>
      <c r="I20" s="6"/>
      <c r="J20" s="6">
        <f t="shared" si="1"/>
        <v>75000</v>
      </c>
      <c r="K20" s="5"/>
      <c r="L20" s="4" t="e">
        <f t="shared" ref="L20" si="2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0" s="11" t="e">
        <f t="shared" ref="M20" si="30">IF(#REF!="","","https://wa.me/"&amp;SUBSTITUTE(SUBSTITUTE(SUBSTITUTE(#REF!,"+","")," ",""),"-","")&amp;"?text="&amp;SUBSTITUTE(L20," ","%20"))</f>
        <v>#REF!</v>
      </c>
      <c r="N20" s="25" t="e">
        <f t="shared" si="4"/>
        <v>#REF!</v>
      </c>
      <c r="O20" s="26"/>
      <c r="P20" s="27" t="str">
        <f t="shared" si="5"/>
        <v/>
      </c>
      <c r="Q20" s="28" t="str">
        <f t="shared" si="6"/>
        <v/>
      </c>
    </row>
    <row r="21" spans="1:17" ht="27.95" customHeight="1" x14ac:dyDescent="0.25">
      <c r="A21" s="20"/>
      <c r="B21" s="16"/>
      <c r="C21" s="8" t="s">
        <v>9</v>
      </c>
      <c r="D21" s="7"/>
      <c r="E21" s="8" t="s">
        <v>80</v>
      </c>
      <c r="F21" s="7"/>
      <c r="G21" s="7"/>
      <c r="H21" s="9">
        <f t="shared" si="0"/>
        <v>75000</v>
      </c>
      <c r="I21" s="9"/>
      <c r="J21" s="9">
        <f t="shared" si="1"/>
        <v>75000</v>
      </c>
      <c r="K21" s="8"/>
      <c r="L21" s="4" t="e">
        <f t="shared" ref="L21" si="31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1" s="11" t="e">
        <f t="shared" ref="M21" si="32">IF(#REF!="","","https://wa.me/"&amp;SUBSTITUTE(SUBSTITUTE(SUBSTITUTE(#REF!,"+","")," ",""),"-","")&amp;"?text="&amp;SUBSTITUTE(L21," ","%20"))</f>
        <v>#REF!</v>
      </c>
      <c r="N21" s="29" t="e">
        <f t="shared" si="4"/>
        <v>#REF!</v>
      </c>
      <c r="O21" s="30"/>
      <c r="P21" s="27" t="str">
        <f t="shared" si="5"/>
        <v/>
      </c>
      <c r="Q21" s="28" t="str">
        <f t="shared" si="6"/>
        <v/>
      </c>
    </row>
    <row r="22" spans="1:17" ht="27.95" customHeight="1" x14ac:dyDescent="0.25">
      <c r="A22" s="19"/>
      <c r="B22" s="15"/>
      <c r="C22" s="5" t="s">
        <v>12</v>
      </c>
      <c r="D22" s="4"/>
      <c r="E22" s="5" t="s">
        <v>76</v>
      </c>
      <c r="F22" s="4"/>
      <c r="G22" s="4"/>
      <c r="H22" s="6">
        <f t="shared" si="0"/>
        <v>150000</v>
      </c>
      <c r="I22" s="6"/>
      <c r="J22" s="6">
        <f t="shared" si="1"/>
        <v>150000</v>
      </c>
      <c r="K22" s="5"/>
      <c r="L22" s="4" t="e">
        <f t="shared" ref="L22" si="3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2" s="11" t="e">
        <f t="shared" ref="M22" si="34">IF(#REF!="","","https://wa.me/"&amp;SUBSTITUTE(SUBSTITUTE(SUBSTITUTE(#REF!,"+","")," ",""),"-","")&amp;"?text="&amp;SUBSTITUTE(L22," ","%20"))</f>
        <v>#REF!</v>
      </c>
      <c r="N22" s="25" t="e">
        <f t="shared" si="4"/>
        <v>#REF!</v>
      </c>
      <c r="O22" s="26"/>
      <c r="P22" s="27" t="str">
        <f t="shared" si="5"/>
        <v/>
      </c>
      <c r="Q22" s="28" t="str">
        <f t="shared" si="6"/>
        <v/>
      </c>
    </row>
    <row r="23" spans="1:17" ht="27.95" customHeight="1" x14ac:dyDescent="0.25">
      <c r="A23" s="20"/>
      <c r="B23" s="16"/>
      <c r="C23" s="8" t="s">
        <v>12</v>
      </c>
      <c r="D23" s="7"/>
      <c r="E23" s="8" t="s">
        <v>80</v>
      </c>
      <c r="F23" s="7" t="s">
        <v>114</v>
      </c>
      <c r="G23" s="7"/>
      <c r="H23" s="9">
        <f t="shared" si="0"/>
        <v>150000</v>
      </c>
      <c r="I23" s="9"/>
      <c r="J23" s="9">
        <f t="shared" si="1"/>
        <v>150000</v>
      </c>
      <c r="K23" s="8"/>
      <c r="L23" s="4" t="e">
        <f t="shared" ref="L23" si="35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3" s="11" t="e">
        <f t="shared" ref="M23" si="36">IF(#REF!="","","https://wa.me/"&amp;SUBSTITUTE(SUBSTITUTE(SUBSTITUTE(#REF!,"+","")," ",""),"-","")&amp;"?text="&amp;SUBSTITUTE(L23," ","%20"))</f>
        <v>#REF!</v>
      </c>
      <c r="N23" s="29" t="e">
        <f t="shared" si="4"/>
        <v>#REF!</v>
      </c>
      <c r="O23" s="30"/>
      <c r="P23" s="27" t="str">
        <f t="shared" si="5"/>
        <v/>
      </c>
      <c r="Q23" s="28" t="str">
        <f t="shared" si="6"/>
        <v/>
      </c>
    </row>
    <row r="24" spans="1:17" ht="27.95" customHeight="1" x14ac:dyDescent="0.25">
      <c r="A24" s="19"/>
      <c r="B24" s="15"/>
      <c r="C24" s="5" t="s">
        <v>2</v>
      </c>
      <c r="D24" s="4"/>
      <c r="E24" s="5"/>
      <c r="F24" s="4"/>
      <c r="G24" s="4"/>
      <c r="H24" s="6">
        <f t="shared" si="0"/>
        <v>200000</v>
      </c>
      <c r="I24" s="6"/>
      <c r="J24" s="6">
        <f t="shared" si="1"/>
        <v>200000</v>
      </c>
      <c r="K24" s="5"/>
      <c r="L2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4" s="11" t="e">
        <f t="shared" ref="M24" si="37">IF(#REF!="","","https://wa.me/"&amp;SUBSTITUTE(SUBSTITUTE(SUBSTITUTE(#REF!,"+","")," ",""),"-","")&amp;"?text="&amp;SUBSTITUTE(L24," ","%20"))</f>
        <v>#REF!</v>
      </c>
      <c r="N24" s="25" t="e">
        <f t="shared" si="4"/>
        <v>#REF!</v>
      </c>
      <c r="O24" s="26"/>
      <c r="P24" s="27" t="str">
        <f>IF(B26="","","Bonjour "&amp;A26&amp;",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4" s="28" t="str">
        <f t="shared" si="6"/>
        <v/>
      </c>
    </row>
    <row r="25" spans="1:17" ht="27.95" customHeight="1" x14ac:dyDescent="0.25">
      <c r="A25" s="20"/>
      <c r="B25" s="16"/>
      <c r="C25" s="8" t="s">
        <v>12</v>
      </c>
      <c r="D25" s="7"/>
      <c r="E25" s="8"/>
      <c r="F25" s="7" t="s">
        <v>83</v>
      </c>
      <c r="G25" s="7"/>
      <c r="H25" s="9">
        <f t="shared" si="0"/>
        <v>150000</v>
      </c>
      <c r="I25" s="9"/>
      <c r="J25" s="9">
        <f t="shared" si="1"/>
        <v>150000</v>
      </c>
      <c r="K25" s="8"/>
      <c r="L2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5" s="11" t="e">
        <f t="shared" ref="M25" si="38">IF(#REF!="","","https://wa.me/"&amp;SUBSTITUTE(SUBSTITUTE(SUBSTITUTE(#REF!,"+","")," ",""),"-","")&amp;"?text="&amp;SUBSTITUTE(L25," ","%20"))</f>
        <v>#REF!</v>
      </c>
      <c r="N25" s="29" t="e">
        <f t="shared" si="4"/>
        <v>#REF!</v>
      </c>
      <c r="O25" s="30"/>
      <c r="P25" s="27" t="str">
        <f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28" t="str">
        <f t="shared" si="6"/>
        <v/>
      </c>
    </row>
    <row r="26" spans="1:17" ht="27.95" customHeight="1" x14ac:dyDescent="0.25">
      <c r="A26" s="19"/>
      <c r="B26" s="15"/>
      <c r="C26" s="5" t="s">
        <v>12</v>
      </c>
      <c r="D26" s="4"/>
      <c r="E26" s="5" t="s">
        <v>77</v>
      </c>
      <c r="F26" s="4" t="s">
        <v>117</v>
      </c>
      <c r="G26" s="4"/>
      <c r="H26" s="6">
        <f t="shared" si="0"/>
        <v>150000</v>
      </c>
      <c r="I26" s="6"/>
      <c r="J26" s="6">
        <f t="shared" si="1"/>
        <v>150000</v>
      </c>
      <c r="K26" s="5"/>
      <c r="L26" s="4" t="e">
        <f t="shared" ref="L26" si="39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6" s="11" t="e">
        <f t="shared" ref="M26" si="40">IF(#REF!="","","https://wa.me/"&amp;SUBSTITUTE(SUBSTITUTE(SUBSTITUTE(#REF!,"+","")," ",""),"-","")&amp;"?text="&amp;SUBSTITUTE(L26," ","%20"))</f>
        <v>#REF!</v>
      </c>
      <c r="N26" s="25" t="e">
        <f t="shared" si="4"/>
        <v>#REF!</v>
      </c>
      <c r="O26" s="26"/>
      <c r="P26" s="27" t="str">
        <f t="shared" ref="P26:P29" si="41">IF(B30="","","Bonjour "&amp;A30&amp;",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6" s="28" t="str">
        <f t="shared" si="6"/>
        <v/>
      </c>
    </row>
    <row r="27" spans="1:17" ht="27.95" customHeight="1" x14ac:dyDescent="0.25">
      <c r="A27" s="19"/>
      <c r="B27" s="15"/>
      <c r="C27" s="5" t="s">
        <v>12</v>
      </c>
      <c r="D27" s="4"/>
      <c r="E27" s="5" t="s">
        <v>77</v>
      </c>
      <c r="F27" s="4"/>
      <c r="G27" s="4"/>
      <c r="H27" s="6">
        <f t="shared" si="0"/>
        <v>150000</v>
      </c>
      <c r="I27" s="6"/>
      <c r="J27" s="6">
        <f t="shared" si="1"/>
        <v>150000</v>
      </c>
      <c r="K27" s="5"/>
      <c r="L27" s="4" t="e">
        <f t="shared" ref="L27" si="4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7" s="11" t="e">
        <f>IF(#REF!="","","https://wa.me/"&amp;SUBSTITUTE(SUBSTITUTE(SUBSTITUTE(#REF!,"+","")," ",""),"-","")&amp;"?text="&amp;SUBSTITUTE(L27," ","%20"))</f>
        <v>#REF!</v>
      </c>
      <c r="N27" s="25" t="e">
        <f t="shared" si="4"/>
        <v>#REF!</v>
      </c>
      <c r="O27" s="26"/>
      <c r="P27" s="27" t="str">
        <f t="shared" si="41"/>
        <v/>
      </c>
      <c r="Q27" s="28" t="str">
        <f t="shared" si="6"/>
        <v/>
      </c>
    </row>
    <row r="28" spans="1:17" x14ac:dyDescent="0.25">
      <c r="A28" s="19"/>
      <c r="B28" s="15"/>
      <c r="C28" s="5" t="s">
        <v>12</v>
      </c>
      <c r="D28" s="4"/>
      <c r="E28" s="5" t="s">
        <v>77</v>
      </c>
      <c r="F28" s="4"/>
      <c r="G28" s="4"/>
      <c r="H28" s="6">
        <f t="shared" si="0"/>
        <v>150000</v>
      </c>
      <c r="I28" s="6"/>
      <c r="J28" s="6">
        <f t="shared" si="1"/>
        <v>150000</v>
      </c>
      <c r="K28" s="5"/>
      <c r="L28" s="4" t="e">
        <f t="shared" ref="L28" si="43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8" s="11" t="e">
        <f>IF(#REF!="","","https://wa.me/"&amp;SUBSTITUTE(SUBSTITUTE(SUBSTITUTE(#REF!,"+","")," ",""),"-","")&amp;"?text="&amp;SUBSTITUTE(L28," ","%20"))</f>
        <v>#REF!</v>
      </c>
      <c r="N28" s="25" t="e">
        <f t="shared" si="4"/>
        <v>#REF!</v>
      </c>
      <c r="O28" s="26"/>
      <c r="P28" s="27" t="str">
        <f t="shared" si="41"/>
        <v/>
      </c>
      <c r="Q28" s="28" t="str">
        <f t="shared" si="6"/>
        <v/>
      </c>
    </row>
    <row r="29" spans="1:17" x14ac:dyDescent="0.25">
      <c r="A29" s="19"/>
      <c r="B29" s="15"/>
      <c r="C29" s="5" t="s">
        <v>9</v>
      </c>
      <c r="D29" s="4"/>
      <c r="E29" s="5" t="s">
        <v>80</v>
      </c>
      <c r="F29" s="4"/>
      <c r="G29" s="4"/>
      <c r="H29" s="6">
        <f t="shared" si="0"/>
        <v>75000</v>
      </c>
      <c r="I29" s="6"/>
      <c r="J29" s="6">
        <f t="shared" si="1"/>
        <v>75000</v>
      </c>
      <c r="K29" s="5"/>
      <c r="L29" s="4" t="e">
        <f t="shared" ref="L29" si="4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29" s="11" t="e">
        <f t="shared" ref="M29" si="45">IF(#REF!="","","https://wa.me/"&amp;SUBSTITUTE(SUBSTITUTE(SUBSTITUTE(#REF!,"+","")," ",""),"-","")&amp;"?text="&amp;SUBSTITUTE(L29," ","%20"))</f>
        <v>#REF!</v>
      </c>
      <c r="N29" s="25" t="e">
        <f t="shared" si="4"/>
        <v>#REF!</v>
      </c>
      <c r="O29" s="26"/>
      <c r="P29" s="27" t="str">
        <f t="shared" si="41"/>
        <v/>
      </c>
      <c r="Q29" s="28" t="str">
        <f t="shared" si="6"/>
        <v/>
      </c>
    </row>
    <row r="30" spans="1:17" x14ac:dyDescent="0.25">
      <c r="A30" s="19"/>
      <c r="B30" s="15"/>
      <c r="C30" s="5"/>
      <c r="D30" s="4"/>
      <c r="E30" s="5"/>
      <c r="F30" s="4"/>
      <c r="G30" s="4"/>
      <c r="H30" s="6">
        <f t="shared" si="0"/>
        <v>250000</v>
      </c>
      <c r="I30" s="6"/>
      <c r="J30" s="6">
        <f t="shared" si="1"/>
        <v>250000</v>
      </c>
      <c r="K30" s="5"/>
      <c r="L30" s="4" t="e">
        <f t="shared" ref="L30" si="4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0" s="11" t="e">
        <f t="shared" ref="M30" si="47">IF(#REF!="","","https://wa.me/"&amp;SUBSTITUTE(SUBSTITUTE(SUBSTITUTE(#REF!,"+","")," ",""),"-","")&amp;"?text="&amp;SUBSTITUTE(L30," ","%20"))</f>
        <v>#REF!</v>
      </c>
      <c r="N30" s="33" t="e">
        <f t="shared" si="4"/>
        <v>#REF!</v>
      </c>
      <c r="Q30" s="2" t="str">
        <f t="shared" si="6"/>
        <v/>
      </c>
    </row>
    <row r="31" spans="1:17" x14ac:dyDescent="0.25">
      <c r="A31" s="19"/>
      <c r="B31" s="15"/>
      <c r="C31" s="5"/>
      <c r="D31" s="4"/>
      <c r="E31" s="5"/>
      <c r="F31" s="4"/>
      <c r="G31" s="4"/>
      <c r="H31" s="6">
        <f t="shared" si="0"/>
        <v>250000</v>
      </c>
      <c r="I31" s="6"/>
      <c r="J31" s="6">
        <f t="shared" si="1"/>
        <v>250000</v>
      </c>
      <c r="K31" s="5"/>
      <c r="L31" s="4" t="e">
        <f t="shared" ref="L31" si="4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1" s="11" t="e">
        <f t="shared" ref="M31" si="49">IF(#REF!="","","https://wa.me/"&amp;SUBSTITUTE(SUBSTITUTE(SUBSTITUTE(#REF!,"+","")," ",""),"-","")&amp;"?text="&amp;SUBSTITUTE(L31," ","%20"))</f>
        <v>#REF!</v>
      </c>
      <c r="N31" s="33" t="e">
        <f t="shared" si="4"/>
        <v>#REF!</v>
      </c>
      <c r="Q31" s="2" t="str">
        <f t="shared" si="6"/>
        <v/>
      </c>
    </row>
    <row r="32" spans="1:17" x14ac:dyDescent="0.25">
      <c r="A32" s="19"/>
      <c r="B32" s="15"/>
      <c r="C32" s="5"/>
      <c r="D32" s="4"/>
      <c r="E32" s="5"/>
      <c r="F32" s="4"/>
      <c r="G32" s="4"/>
      <c r="H32" s="6">
        <f t="shared" si="0"/>
        <v>250000</v>
      </c>
      <c r="I32" s="6"/>
      <c r="J32" s="6">
        <f t="shared" si="1"/>
        <v>250000</v>
      </c>
      <c r="K32" s="5"/>
      <c r="L32" s="4" t="e">
        <f t="shared" ref="L32" si="50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2" s="11" t="e">
        <f t="shared" ref="M32" si="51">IF(#REF!="","","https://wa.me/"&amp;SUBSTITUTE(SUBSTITUTE(SUBSTITUTE(#REF!,"+","")," ",""),"-","")&amp;"?text="&amp;SUBSTITUTE(L32," ","%20"))</f>
        <v>#REF!</v>
      </c>
      <c r="N32" s="33" t="e">
        <f t="shared" si="4"/>
        <v>#REF!</v>
      </c>
      <c r="Q32" s="2" t="str">
        <f t="shared" si="6"/>
        <v/>
      </c>
    </row>
    <row r="33" spans="1:17" x14ac:dyDescent="0.25">
      <c r="A33" s="19"/>
      <c r="B33" s="15"/>
      <c r="C33" s="5"/>
      <c r="D33" s="4"/>
      <c r="E33" s="5"/>
      <c r="F33" s="4"/>
      <c r="G33" s="4"/>
      <c r="H33" s="6">
        <f t="shared" si="0"/>
        <v>250000</v>
      </c>
      <c r="I33" s="6"/>
      <c r="J33" s="6">
        <f t="shared" si="1"/>
        <v>250000</v>
      </c>
      <c r="K33" s="5"/>
      <c r="L33" s="4" t="e">
        <f t="shared" ref="L33" si="5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3" s="11" t="e">
        <f t="shared" ref="M33" si="53">IF(#REF!="","","https://wa.me/"&amp;SUBSTITUTE(SUBSTITUTE(SUBSTITUTE(#REF!,"+","")," ",""),"-","")&amp;"?text="&amp;SUBSTITUTE(L33," ","%20"))</f>
        <v>#REF!</v>
      </c>
      <c r="N33" s="33" t="e">
        <f t="shared" si="4"/>
        <v>#REF!</v>
      </c>
      <c r="Q33" s="2" t="str">
        <f t="shared" si="6"/>
        <v/>
      </c>
    </row>
    <row r="34" spans="1:17" x14ac:dyDescent="0.25">
      <c r="A34" s="19"/>
      <c r="B34" s="15"/>
      <c r="C34" s="5"/>
      <c r="D34" s="4"/>
      <c r="E34" s="5"/>
      <c r="F34" s="4"/>
      <c r="G34" s="4"/>
      <c r="H34" s="6">
        <f t="shared" si="0"/>
        <v>250000</v>
      </c>
      <c r="I34" s="6"/>
      <c r="J34" s="6">
        <f t="shared" si="1"/>
        <v>250000</v>
      </c>
      <c r="K34" s="5"/>
      <c r="L34" s="4" t="e">
        <f t="shared" ref="L34" si="5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4" s="11" t="e">
        <f t="shared" ref="M34" si="55">IF(#REF!="","","https://wa.me/"&amp;SUBSTITUTE(SUBSTITUTE(SUBSTITUTE(#REF!,"+","")," ",""),"-","")&amp;"?text="&amp;SUBSTITUTE(L34," ","%20"))</f>
        <v>#REF!</v>
      </c>
      <c r="N34" s="33" t="e">
        <f t="shared" si="4"/>
        <v>#REF!</v>
      </c>
      <c r="Q34" s="2" t="str">
        <f t="shared" si="6"/>
        <v/>
      </c>
    </row>
    <row r="35" spans="1:17" x14ac:dyDescent="0.25">
      <c r="A35" s="19"/>
      <c r="B35" s="15"/>
      <c r="C35" s="5"/>
      <c r="D35" s="4"/>
      <c r="E35" s="5"/>
      <c r="F35" s="4"/>
      <c r="G35" s="4"/>
      <c r="H35" s="6">
        <f t="shared" si="0"/>
        <v>250000</v>
      </c>
      <c r="I35" s="6"/>
      <c r="J35" s="6">
        <f t="shared" si="1"/>
        <v>250000</v>
      </c>
      <c r="K35" s="5"/>
      <c r="L35" s="4" t="e">
        <f t="shared" ref="L35" si="5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5" s="11" t="e">
        <f t="shared" ref="M35" si="57">IF(#REF!="","","https://wa.me/"&amp;SUBSTITUTE(SUBSTITUTE(SUBSTITUTE(#REF!,"+","")," ",""),"-","")&amp;"?text="&amp;SUBSTITUTE(L35," ","%20"))</f>
        <v>#REF!</v>
      </c>
      <c r="N35" s="33" t="e">
        <f t="shared" si="4"/>
        <v>#REF!</v>
      </c>
      <c r="Q35" s="2" t="str">
        <f t="shared" si="6"/>
        <v/>
      </c>
    </row>
    <row r="36" spans="1:17" x14ac:dyDescent="0.25">
      <c r="A36" s="19"/>
      <c r="B36" s="15"/>
      <c r="C36" s="5"/>
      <c r="D36" s="4"/>
      <c r="E36" s="5"/>
      <c r="F36" s="4"/>
      <c r="G36" s="4"/>
      <c r="H36" s="6">
        <f t="shared" si="0"/>
        <v>250000</v>
      </c>
      <c r="I36" s="6"/>
      <c r="J36" s="6">
        <f t="shared" si="1"/>
        <v>250000</v>
      </c>
      <c r="K36" s="5"/>
      <c r="L36" s="4" t="e">
        <f t="shared" ref="L36" si="5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6" s="11" t="e">
        <f t="shared" ref="M36" si="59">IF(#REF!="","","https://wa.me/"&amp;SUBSTITUTE(SUBSTITUTE(SUBSTITUTE(#REF!,"+","")," ",""),"-","")&amp;"?text="&amp;SUBSTITUTE(L36," ","%20"))</f>
        <v>#REF!</v>
      </c>
      <c r="N36" s="33" t="e">
        <f t="shared" si="4"/>
        <v>#REF!</v>
      </c>
      <c r="Q36" s="2" t="str">
        <f t="shared" si="6"/>
        <v/>
      </c>
    </row>
    <row r="37" spans="1:17" x14ac:dyDescent="0.25">
      <c r="A37" s="19"/>
      <c r="B37" s="15"/>
      <c r="C37" s="5"/>
      <c r="D37" s="4"/>
      <c r="E37" s="5"/>
      <c r="F37" s="4"/>
      <c r="G37" s="4"/>
      <c r="H37" s="6">
        <f t="shared" si="0"/>
        <v>250000</v>
      </c>
      <c r="I37" s="6"/>
      <c r="J37" s="6">
        <f t="shared" si="1"/>
        <v>250000</v>
      </c>
      <c r="K37" s="5"/>
      <c r="L37" s="4" t="e">
        <f t="shared" ref="L37" si="60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7" s="11" t="e">
        <f t="shared" ref="M37" si="61">IF(#REF!="","","https://wa.me/"&amp;SUBSTITUTE(SUBSTITUTE(SUBSTITUTE(#REF!,"+","")," ",""),"-","")&amp;"?text="&amp;SUBSTITUTE(L37," ","%20"))</f>
        <v>#REF!</v>
      </c>
      <c r="N37" s="33" t="e">
        <f t="shared" si="4"/>
        <v>#REF!</v>
      </c>
      <c r="Q37" s="2" t="str">
        <f t="shared" si="6"/>
        <v/>
      </c>
    </row>
    <row r="38" spans="1:17" x14ac:dyDescent="0.25">
      <c r="A38" s="19"/>
      <c r="B38" s="15"/>
      <c r="C38" s="5"/>
      <c r="D38" s="4"/>
      <c r="E38" s="5"/>
      <c r="F38" s="4"/>
      <c r="G38" s="4"/>
      <c r="H38" s="6">
        <f t="shared" si="0"/>
        <v>250000</v>
      </c>
      <c r="I38" s="6"/>
      <c r="J38" s="6">
        <f t="shared" si="1"/>
        <v>250000</v>
      </c>
      <c r="K38" s="5"/>
      <c r="L38" s="4" t="e">
        <f t="shared" ref="L38" si="6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8" s="11" t="e">
        <f t="shared" ref="M38" si="63">IF(#REF!="","","https://wa.me/"&amp;SUBSTITUTE(SUBSTITUTE(SUBSTITUTE(#REF!,"+","")," ",""),"-","")&amp;"?text="&amp;SUBSTITUTE(L38," ","%20"))</f>
        <v>#REF!</v>
      </c>
      <c r="N38" s="33" t="e">
        <f t="shared" si="4"/>
        <v>#REF!</v>
      </c>
      <c r="Q38" s="2" t="str">
        <f t="shared" si="6"/>
        <v/>
      </c>
    </row>
    <row r="39" spans="1:17" x14ac:dyDescent="0.25">
      <c r="A39" s="19"/>
      <c r="B39" s="15"/>
      <c r="C39" s="5"/>
      <c r="D39" s="4"/>
      <c r="E39" s="5"/>
      <c r="F39" s="4"/>
      <c r="G39" s="4"/>
      <c r="H39" s="6">
        <f t="shared" si="0"/>
        <v>250000</v>
      </c>
      <c r="I39" s="6"/>
      <c r="J39" s="6">
        <f t="shared" si="1"/>
        <v>250000</v>
      </c>
      <c r="K39" s="5"/>
      <c r="L39" s="4" t="e">
        <f t="shared" ref="L39" si="6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39" s="11" t="e">
        <f t="shared" ref="M39" si="65">IF(#REF!="","","https://wa.me/"&amp;SUBSTITUTE(SUBSTITUTE(SUBSTITUTE(#REF!,"+","")," ",""),"-","")&amp;"?text="&amp;SUBSTITUTE(L39," ","%20"))</f>
        <v>#REF!</v>
      </c>
      <c r="N39" s="33" t="e">
        <f t="shared" si="4"/>
        <v>#REF!</v>
      </c>
      <c r="Q39" s="2" t="str">
        <f t="shared" si="6"/>
        <v/>
      </c>
    </row>
    <row r="40" spans="1:17" x14ac:dyDescent="0.25">
      <c r="A40" s="19"/>
      <c r="B40" s="15"/>
      <c r="C40" s="5"/>
      <c r="D40" s="4"/>
      <c r="E40" s="5"/>
      <c r="F40" s="4"/>
      <c r="G40" s="4"/>
      <c r="H40" s="6">
        <f t="shared" ref="H40:H71" si="66">IF(C40="Cameroun", 75000, IF(OR(C40="Gabon", C40="Congo (RDC)", C40="Congo", C40="Tchad", C40="RCA", C40="Guinée Équatoriale"), 150000, IF(C40&lt;&gt;"", 200000, 250000)))</f>
        <v>250000</v>
      </c>
      <c r="I40" s="6"/>
      <c r="J40" s="6">
        <f t="shared" ref="J40:J71" si="67">H40-I40</f>
        <v>250000</v>
      </c>
      <c r="K40" s="5"/>
      <c r="L40" s="4" t="e">
        <f t="shared" ref="L40" si="68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0" s="11" t="e">
        <f t="shared" ref="M40" si="69">IF(#REF!="","","https://wa.me/"&amp;SUBSTITUTE(SUBSTITUTE(SUBSTITUTE(#REF!,"+","")," ",""),"-","")&amp;"?text="&amp;SUBSTITUTE(L40," ","%20"))</f>
        <v>#REF!</v>
      </c>
      <c r="N40" s="33" t="e">
        <f t="shared" ref="N40:N71" si="70">L40-M40</f>
        <v>#REF!</v>
      </c>
      <c r="Q40" s="2" t="str">
        <f t="shared" ref="Q40:Q71" si="71">IF(B40="","","https://wa.me/"&amp;SUBSTITUTE(SUBSTITUTE(SUBSTITUTE(B40,"+","")," ",""),"-","")&amp;"?text="&amp;SUBSTITUTE(P40," ","%20"))</f>
        <v/>
      </c>
    </row>
    <row r="41" spans="1:17" x14ac:dyDescent="0.25">
      <c r="A41" s="19"/>
      <c r="B41" s="15"/>
      <c r="C41" s="5"/>
      <c r="D41" s="4"/>
      <c r="E41" s="5"/>
      <c r="F41" s="4"/>
      <c r="G41" s="4"/>
      <c r="H41" s="6">
        <f t="shared" si="66"/>
        <v>250000</v>
      </c>
      <c r="I41" s="6"/>
      <c r="J41" s="6">
        <f t="shared" si="67"/>
        <v>250000</v>
      </c>
      <c r="K41" s="5"/>
      <c r="L41" s="4" t="e">
        <f t="shared" ref="L41" si="7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1" s="11" t="e">
        <f t="shared" ref="M41" si="73">IF(#REF!="","","https://wa.me/"&amp;SUBSTITUTE(SUBSTITUTE(SUBSTITUTE(#REF!,"+","")," ",""),"-","")&amp;"?text="&amp;SUBSTITUTE(L41," ","%20"))</f>
        <v>#REF!</v>
      </c>
      <c r="N41" s="33" t="e">
        <f t="shared" si="70"/>
        <v>#REF!</v>
      </c>
      <c r="Q41" s="2" t="str">
        <f t="shared" si="71"/>
        <v/>
      </c>
    </row>
    <row r="42" spans="1:17" x14ac:dyDescent="0.25">
      <c r="A42" s="19"/>
      <c r="B42" s="15"/>
      <c r="C42" s="5"/>
      <c r="D42" s="4"/>
      <c r="E42" s="5"/>
      <c r="F42" s="4"/>
      <c r="G42" s="4"/>
      <c r="H42" s="6">
        <f t="shared" si="66"/>
        <v>250000</v>
      </c>
      <c r="I42" s="6"/>
      <c r="J42" s="6">
        <f t="shared" si="67"/>
        <v>250000</v>
      </c>
      <c r="K42" s="5"/>
      <c r="L42" s="4" t="e">
        <f t="shared" ref="L42" si="7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2" s="11" t="e">
        <f t="shared" ref="M42" si="75">IF(#REF!="","","https://wa.me/"&amp;SUBSTITUTE(SUBSTITUTE(SUBSTITUTE(#REF!,"+","")," ",""),"-","")&amp;"?text="&amp;SUBSTITUTE(L42," ","%20"))</f>
        <v>#REF!</v>
      </c>
      <c r="N42" s="33" t="e">
        <f t="shared" si="70"/>
        <v>#REF!</v>
      </c>
      <c r="Q42" s="2" t="str">
        <f t="shared" si="71"/>
        <v/>
      </c>
    </row>
    <row r="43" spans="1:17" x14ac:dyDescent="0.25">
      <c r="A43" s="19"/>
      <c r="B43" s="15"/>
      <c r="C43" s="5"/>
      <c r="D43" s="4"/>
      <c r="E43" s="5"/>
      <c r="F43" s="4"/>
      <c r="G43" s="4"/>
      <c r="H43" s="6">
        <f t="shared" si="66"/>
        <v>250000</v>
      </c>
      <c r="I43" s="6"/>
      <c r="J43" s="6">
        <f t="shared" si="67"/>
        <v>250000</v>
      </c>
      <c r="K43" s="5"/>
      <c r="L43" s="4" t="e">
        <f t="shared" ref="L43" si="7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3" s="11" t="e">
        <f t="shared" ref="M43" si="77">IF(#REF!="","","https://wa.me/"&amp;SUBSTITUTE(SUBSTITUTE(SUBSTITUTE(#REF!,"+","")," ",""),"-","")&amp;"?text="&amp;SUBSTITUTE(L43," ","%20"))</f>
        <v>#REF!</v>
      </c>
      <c r="N43" s="33" t="e">
        <f t="shared" si="70"/>
        <v>#REF!</v>
      </c>
      <c r="Q43" s="2" t="str">
        <f t="shared" si="71"/>
        <v/>
      </c>
    </row>
    <row r="44" spans="1:17" x14ac:dyDescent="0.25">
      <c r="A44" s="19"/>
      <c r="B44" s="15"/>
      <c r="C44" s="5"/>
      <c r="D44" s="4"/>
      <c r="E44" s="5"/>
      <c r="F44" s="4"/>
      <c r="G44" s="4"/>
      <c r="H44" s="6">
        <f t="shared" si="66"/>
        <v>250000</v>
      </c>
      <c r="I44" s="6"/>
      <c r="J44" s="6">
        <f t="shared" si="67"/>
        <v>250000</v>
      </c>
      <c r="K44" s="5"/>
      <c r="L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4" s="11" t="e">
        <f t="shared" ref="M44" si="78">IF(#REF!="","","https://wa.me/"&amp;SUBSTITUTE(SUBSTITUTE(SUBSTITUTE(#REF!,"+","")," ",""),"-","")&amp;"?text="&amp;SUBSTITUTE(L44," ","%20"))</f>
        <v>#REF!</v>
      </c>
      <c r="N44" s="33" t="e">
        <f t="shared" si="70"/>
        <v>#REF!</v>
      </c>
      <c r="Q44" s="2" t="str">
        <f t="shared" si="71"/>
        <v/>
      </c>
    </row>
    <row r="45" spans="1:17" x14ac:dyDescent="0.25">
      <c r="A45" s="19"/>
      <c r="B45" s="15"/>
      <c r="C45" s="5"/>
      <c r="D45" s="4"/>
      <c r="E45" s="5"/>
      <c r="F45" s="4"/>
      <c r="G45" s="4"/>
      <c r="H45" s="6">
        <f t="shared" si="66"/>
        <v>250000</v>
      </c>
      <c r="I45" s="6"/>
      <c r="J45" s="6">
        <f t="shared" si="67"/>
        <v>250000</v>
      </c>
      <c r="K45" s="5"/>
      <c r="L4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5" s="11" t="e">
        <f t="shared" ref="M45" si="79">IF(#REF!="","","https://wa.me/"&amp;SUBSTITUTE(SUBSTITUTE(SUBSTITUTE(#REF!,"+","")," ",""),"-","")&amp;"?text="&amp;SUBSTITUTE(L45," ","%20"))</f>
        <v>#REF!</v>
      </c>
      <c r="N45" s="33" t="e">
        <f t="shared" si="70"/>
        <v>#REF!</v>
      </c>
      <c r="Q45" s="2" t="str">
        <f t="shared" si="71"/>
        <v/>
      </c>
    </row>
    <row r="46" spans="1:17" x14ac:dyDescent="0.25">
      <c r="A46" s="19"/>
      <c r="B46" s="15"/>
      <c r="C46" s="5"/>
      <c r="D46" s="4"/>
      <c r="E46" s="5"/>
      <c r="F46" s="4"/>
      <c r="G46" s="4"/>
      <c r="H46" s="6">
        <f t="shared" si="66"/>
        <v>250000</v>
      </c>
      <c r="I46" s="6"/>
      <c r="J46" s="6">
        <f t="shared" si="67"/>
        <v>250000</v>
      </c>
      <c r="K46" s="5"/>
      <c r="L46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6" s="11" t="e">
        <f t="shared" ref="M46" si="80">IF(#REF!="","","https://wa.me/"&amp;SUBSTITUTE(SUBSTITUTE(SUBSTITUTE(#REF!,"+","")," ",""),"-","")&amp;"?text="&amp;SUBSTITUTE(L46," ","%20"))</f>
        <v>#REF!</v>
      </c>
      <c r="N46" s="33" t="e">
        <f t="shared" si="70"/>
        <v>#REF!</v>
      </c>
      <c r="Q46" s="2" t="str">
        <f t="shared" si="71"/>
        <v/>
      </c>
    </row>
    <row r="47" spans="1:17" x14ac:dyDescent="0.25">
      <c r="A47" s="19"/>
      <c r="B47" s="15"/>
      <c r="C47" s="5"/>
      <c r="D47" s="4"/>
      <c r="E47" s="5"/>
      <c r="F47" s="4"/>
      <c r="G47" s="4"/>
      <c r="H47" s="6">
        <f t="shared" si="66"/>
        <v>250000</v>
      </c>
      <c r="I47" s="6"/>
      <c r="J47" s="6">
        <f t="shared" si="67"/>
        <v>250000</v>
      </c>
      <c r="K47" s="5"/>
      <c r="L47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7" s="11" t="e">
        <f t="shared" ref="M47" si="81">IF(#REF!="","","https://wa.me/"&amp;SUBSTITUTE(SUBSTITUTE(SUBSTITUTE(#REF!,"+","")," ",""),"-","")&amp;"?text="&amp;SUBSTITUTE(L47," ","%20"))</f>
        <v>#REF!</v>
      </c>
      <c r="N47" s="33" t="e">
        <f t="shared" si="70"/>
        <v>#REF!</v>
      </c>
      <c r="Q47" s="2" t="str">
        <f t="shared" si="71"/>
        <v/>
      </c>
    </row>
    <row r="48" spans="1:17" x14ac:dyDescent="0.25">
      <c r="A48" s="20"/>
      <c r="B48" s="16"/>
      <c r="C48" s="8"/>
      <c r="D48" s="7"/>
      <c r="E48" s="8"/>
      <c r="F48" s="7"/>
      <c r="G48" s="7"/>
      <c r="H48" s="9">
        <f t="shared" si="66"/>
        <v>250000</v>
      </c>
      <c r="I48" s="9"/>
      <c r="J48" s="9">
        <f t="shared" si="67"/>
        <v>250000</v>
      </c>
      <c r="K48" s="8"/>
      <c r="L48" s="4" t="e">
        <f t="shared" ref="L48" si="82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8" s="11" t="e">
        <f t="shared" ref="M48" si="83">IF(#REF!="","","https://wa.me/"&amp;SUBSTITUTE(SUBSTITUTE(SUBSTITUTE(#REF!,"+","")," ",""),"-","")&amp;"?text="&amp;SUBSTITUTE(L48," ","%20"))</f>
        <v>#REF!</v>
      </c>
      <c r="N48" s="33" t="e">
        <f t="shared" si="70"/>
        <v>#REF!</v>
      </c>
      <c r="Q48" s="2" t="str">
        <f t="shared" si="71"/>
        <v/>
      </c>
    </row>
    <row r="49" spans="1:17" x14ac:dyDescent="0.25">
      <c r="A49" s="20"/>
      <c r="B49" s="16"/>
      <c r="C49" s="8"/>
      <c r="D49" s="7"/>
      <c r="E49" s="8"/>
      <c r="F49" s="7"/>
      <c r="G49" s="7"/>
      <c r="H49" s="9">
        <f t="shared" si="66"/>
        <v>250000</v>
      </c>
      <c r="I49" s="9"/>
      <c r="J49" s="9">
        <f t="shared" si="67"/>
        <v>250000</v>
      </c>
      <c r="K49" s="8"/>
      <c r="L49" s="4" t="e">
        <f t="shared" ref="L49" si="84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49" s="11" t="e">
        <f t="shared" ref="M49" si="85">IF(#REF!="","","https://wa.me/"&amp;SUBSTITUTE(SUBSTITUTE(SUBSTITUTE(#REF!,"+","")," ",""),"-","")&amp;"?text="&amp;SUBSTITUTE(L49," ","%20"))</f>
        <v>#REF!</v>
      </c>
      <c r="N49" s="33" t="e">
        <f t="shared" si="70"/>
        <v>#REF!</v>
      </c>
      <c r="Q49" s="2" t="str">
        <f t="shared" si="71"/>
        <v/>
      </c>
    </row>
    <row r="50" spans="1:17" x14ac:dyDescent="0.25">
      <c r="A50" s="20"/>
      <c r="B50" s="16"/>
      <c r="C50" s="8"/>
      <c r="D50" s="7"/>
      <c r="E50" s="8"/>
      <c r="F50" s="7"/>
      <c r="G50" s="7"/>
      <c r="H50" s="9">
        <f t="shared" si="66"/>
        <v>250000</v>
      </c>
      <c r="I50" s="9"/>
      <c r="J50" s="9">
        <f t="shared" si="67"/>
        <v>250000</v>
      </c>
      <c r="K50" s="8"/>
      <c r="L50" s="4" t="e">
        <f t="shared" ref="L50" si="86"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M50" s="11" t="e">
        <f t="shared" ref="M50" si="87">IF(#REF!="","","https://wa.me/"&amp;SUBSTITUTE(SUBSTITUTE(SUBSTITUTE(#REF!,"+","")," ",""),"-","")&amp;"?text="&amp;SUBSTITUTE(L50," ","%20"))</f>
        <v>#REF!</v>
      </c>
      <c r="N50" s="33" t="e">
        <f t="shared" si="70"/>
        <v>#REF!</v>
      </c>
      <c r="Q50" s="2" t="str">
        <f t="shared" si="71"/>
        <v/>
      </c>
    </row>
    <row r="51" spans="1:17" x14ac:dyDescent="0.25">
      <c r="A51" s="34"/>
      <c r="D51" s="2" t="str">
        <f t="shared" ref="D51:D71" ca="1" si="88">IF(B51="", "", IF(C51="", "En attente de date", IF((C51-TODAY())&lt;=0, "Urgent (J-0)", IF((C51-TODAY())&lt;=7, "Relance à J-7", IF(E51&gt;0, "Déjà relancé", "Dans les temps")))))</f>
        <v/>
      </c>
      <c r="H51" s="33">
        <f t="shared" si="66"/>
        <v>250000</v>
      </c>
      <c r="J51" s="33">
        <f t="shared" si="67"/>
        <v>250000</v>
      </c>
      <c r="L51" s="33">
        <f t="shared" ref="L51:L71" si="89">IF(G51="Cameroun", 75000, IF(OR(G51="Gabon", G51="Congo (RDC)", G51="Congo", G51="Tchad", G51="RCA", G51="Guinée Équatoriale"), 150000, IF(G51&lt;&gt;"", 200000, 250000)))</f>
        <v>250000</v>
      </c>
      <c r="N51" s="33">
        <f t="shared" si="70"/>
        <v>250000</v>
      </c>
      <c r="Q51" s="2" t="str">
        <f t="shared" si="71"/>
        <v/>
      </c>
    </row>
    <row r="52" spans="1:17" x14ac:dyDescent="0.25">
      <c r="A52" s="34"/>
      <c r="D52" s="2" t="str">
        <f t="shared" ca="1" si="88"/>
        <v/>
      </c>
      <c r="H52" s="33">
        <f t="shared" si="66"/>
        <v>250000</v>
      </c>
      <c r="J52" s="33">
        <f t="shared" si="67"/>
        <v>250000</v>
      </c>
      <c r="L52" s="33">
        <f t="shared" si="89"/>
        <v>250000</v>
      </c>
      <c r="N52" s="33">
        <f t="shared" si="70"/>
        <v>250000</v>
      </c>
      <c r="Q52" s="2" t="str">
        <f t="shared" si="71"/>
        <v/>
      </c>
    </row>
    <row r="53" spans="1:17" x14ac:dyDescent="0.25">
      <c r="A53" s="34"/>
      <c r="D53" s="2" t="str">
        <f t="shared" ca="1" si="88"/>
        <v/>
      </c>
      <c r="H53" s="33">
        <f t="shared" si="66"/>
        <v>250000</v>
      </c>
      <c r="J53" s="33">
        <f t="shared" si="67"/>
        <v>250000</v>
      </c>
      <c r="L53" s="33">
        <f t="shared" si="89"/>
        <v>250000</v>
      </c>
      <c r="N53" s="33">
        <f t="shared" si="70"/>
        <v>250000</v>
      </c>
      <c r="Q53" s="2" t="str">
        <f t="shared" si="71"/>
        <v/>
      </c>
    </row>
    <row r="54" spans="1:17" x14ac:dyDescent="0.25">
      <c r="A54" s="34"/>
      <c r="D54" s="2" t="str">
        <f t="shared" ca="1" si="88"/>
        <v/>
      </c>
      <c r="H54" s="33">
        <f t="shared" si="66"/>
        <v>250000</v>
      </c>
      <c r="J54" s="33">
        <f t="shared" si="67"/>
        <v>250000</v>
      </c>
      <c r="L54" s="33">
        <f t="shared" si="89"/>
        <v>250000</v>
      </c>
      <c r="N54" s="33">
        <f t="shared" si="70"/>
        <v>250000</v>
      </c>
      <c r="Q54" s="2" t="str">
        <f t="shared" si="71"/>
        <v/>
      </c>
    </row>
    <row r="55" spans="1:17" x14ac:dyDescent="0.25">
      <c r="A55" s="34"/>
      <c r="D55" s="2" t="str">
        <f t="shared" ca="1" si="88"/>
        <v/>
      </c>
      <c r="H55" s="33">
        <f t="shared" si="66"/>
        <v>250000</v>
      </c>
      <c r="J55" s="33">
        <f t="shared" si="67"/>
        <v>250000</v>
      </c>
      <c r="L55" s="33">
        <f t="shared" si="89"/>
        <v>250000</v>
      </c>
      <c r="N55" s="33">
        <f t="shared" si="70"/>
        <v>250000</v>
      </c>
      <c r="Q55" s="2" t="str">
        <f t="shared" si="71"/>
        <v/>
      </c>
    </row>
    <row r="56" spans="1:17" x14ac:dyDescent="0.25">
      <c r="A56" s="34"/>
      <c r="D56" s="2" t="str">
        <f t="shared" ca="1" si="88"/>
        <v/>
      </c>
      <c r="H56" s="33">
        <f t="shared" si="66"/>
        <v>250000</v>
      </c>
      <c r="J56" s="33">
        <f t="shared" si="67"/>
        <v>250000</v>
      </c>
      <c r="L56" s="33">
        <f t="shared" si="89"/>
        <v>250000</v>
      </c>
      <c r="N56" s="33">
        <f t="shared" si="70"/>
        <v>250000</v>
      </c>
      <c r="Q56" s="2" t="str">
        <f t="shared" si="71"/>
        <v/>
      </c>
    </row>
    <row r="57" spans="1:17" x14ac:dyDescent="0.25">
      <c r="A57" s="34"/>
      <c r="D57" s="2" t="str">
        <f t="shared" ca="1" si="88"/>
        <v/>
      </c>
      <c r="H57" s="33">
        <f t="shared" si="66"/>
        <v>250000</v>
      </c>
      <c r="J57" s="33">
        <f t="shared" si="67"/>
        <v>250000</v>
      </c>
      <c r="L57" s="33">
        <f t="shared" si="89"/>
        <v>250000</v>
      </c>
      <c r="N57" s="33">
        <f t="shared" si="70"/>
        <v>250000</v>
      </c>
      <c r="Q57" s="2" t="str">
        <f t="shared" si="71"/>
        <v/>
      </c>
    </row>
    <row r="58" spans="1:17" x14ac:dyDescent="0.25">
      <c r="A58" s="34"/>
      <c r="D58" s="2" t="str">
        <f t="shared" ca="1" si="88"/>
        <v/>
      </c>
      <c r="H58" s="33">
        <f t="shared" si="66"/>
        <v>250000</v>
      </c>
      <c r="J58" s="33">
        <f t="shared" si="67"/>
        <v>250000</v>
      </c>
      <c r="L58" s="33">
        <f t="shared" si="89"/>
        <v>250000</v>
      </c>
      <c r="N58" s="33">
        <f t="shared" si="70"/>
        <v>250000</v>
      </c>
      <c r="Q58" s="2" t="str">
        <f t="shared" si="71"/>
        <v/>
      </c>
    </row>
    <row r="59" spans="1:17" x14ac:dyDescent="0.25">
      <c r="A59" s="34"/>
      <c r="D59" s="2" t="str">
        <f t="shared" ca="1" si="88"/>
        <v/>
      </c>
      <c r="H59" s="33">
        <f t="shared" si="66"/>
        <v>250000</v>
      </c>
      <c r="J59" s="33">
        <f t="shared" si="67"/>
        <v>250000</v>
      </c>
      <c r="L59" s="33">
        <f t="shared" si="89"/>
        <v>250000</v>
      </c>
      <c r="N59" s="33">
        <f t="shared" si="70"/>
        <v>250000</v>
      </c>
      <c r="Q59" s="2" t="str">
        <f t="shared" si="71"/>
        <v/>
      </c>
    </row>
    <row r="60" spans="1:17" x14ac:dyDescent="0.25">
      <c r="A60" s="34"/>
      <c r="D60" s="2" t="str">
        <f t="shared" ca="1" si="88"/>
        <v/>
      </c>
      <c r="H60" s="33">
        <f t="shared" si="66"/>
        <v>250000</v>
      </c>
      <c r="J60" s="33">
        <f t="shared" si="67"/>
        <v>250000</v>
      </c>
      <c r="L60" s="33">
        <f t="shared" si="89"/>
        <v>250000</v>
      </c>
      <c r="N60" s="33">
        <f t="shared" si="70"/>
        <v>250000</v>
      </c>
      <c r="Q60" s="2" t="str">
        <f t="shared" si="71"/>
        <v/>
      </c>
    </row>
    <row r="61" spans="1:17" x14ac:dyDescent="0.25">
      <c r="A61" s="34"/>
      <c r="D61" s="2" t="str">
        <f t="shared" ca="1" si="88"/>
        <v/>
      </c>
      <c r="H61" s="33">
        <f t="shared" si="66"/>
        <v>250000</v>
      </c>
      <c r="J61" s="33">
        <f t="shared" si="67"/>
        <v>250000</v>
      </c>
      <c r="L61" s="33">
        <f t="shared" si="89"/>
        <v>250000</v>
      </c>
      <c r="N61" s="33">
        <f t="shared" si="70"/>
        <v>250000</v>
      </c>
      <c r="Q61" s="2" t="str">
        <f t="shared" si="71"/>
        <v/>
      </c>
    </row>
    <row r="62" spans="1:17" x14ac:dyDescent="0.25">
      <c r="A62" s="34"/>
      <c r="D62" s="2" t="str">
        <f t="shared" ca="1" si="88"/>
        <v/>
      </c>
      <c r="H62" s="33">
        <f t="shared" si="66"/>
        <v>250000</v>
      </c>
      <c r="J62" s="33">
        <f t="shared" si="67"/>
        <v>250000</v>
      </c>
      <c r="L62" s="33">
        <f t="shared" si="89"/>
        <v>250000</v>
      </c>
      <c r="N62" s="33">
        <f t="shared" si="70"/>
        <v>250000</v>
      </c>
      <c r="Q62" s="2" t="str">
        <f t="shared" si="71"/>
        <v/>
      </c>
    </row>
    <row r="63" spans="1:17" x14ac:dyDescent="0.25">
      <c r="A63" s="34"/>
      <c r="D63" s="2" t="str">
        <f t="shared" ca="1" si="88"/>
        <v/>
      </c>
      <c r="H63" s="33">
        <f t="shared" si="66"/>
        <v>250000</v>
      </c>
      <c r="J63" s="33">
        <f t="shared" si="67"/>
        <v>250000</v>
      </c>
      <c r="L63" s="33">
        <f t="shared" si="89"/>
        <v>250000</v>
      </c>
      <c r="N63" s="33">
        <f t="shared" si="70"/>
        <v>250000</v>
      </c>
      <c r="Q63" s="2" t="str">
        <f t="shared" si="71"/>
        <v/>
      </c>
    </row>
    <row r="64" spans="1:17" x14ac:dyDescent="0.25">
      <c r="A64" s="34"/>
      <c r="D64" s="2" t="str">
        <f t="shared" ca="1" si="88"/>
        <v/>
      </c>
      <c r="H64" s="33">
        <f t="shared" si="66"/>
        <v>250000</v>
      </c>
      <c r="J64" s="33">
        <f t="shared" si="67"/>
        <v>250000</v>
      </c>
      <c r="L64" s="33">
        <f t="shared" si="89"/>
        <v>250000</v>
      </c>
      <c r="N64" s="33">
        <f t="shared" si="70"/>
        <v>250000</v>
      </c>
      <c r="Q64" s="2" t="str">
        <f t="shared" si="71"/>
        <v/>
      </c>
    </row>
    <row r="65" spans="1:17" x14ac:dyDescent="0.25">
      <c r="A65" s="34"/>
      <c r="D65" s="2" t="str">
        <f t="shared" ca="1" si="88"/>
        <v/>
      </c>
      <c r="H65" s="33">
        <f t="shared" si="66"/>
        <v>250000</v>
      </c>
      <c r="J65" s="33">
        <f t="shared" si="67"/>
        <v>250000</v>
      </c>
      <c r="L65" s="33">
        <f t="shared" si="89"/>
        <v>250000</v>
      </c>
      <c r="N65" s="33">
        <f t="shared" si="70"/>
        <v>250000</v>
      </c>
      <c r="Q65" s="2" t="str">
        <f t="shared" si="71"/>
        <v/>
      </c>
    </row>
    <row r="66" spans="1:17" x14ac:dyDescent="0.25">
      <c r="A66" s="34"/>
      <c r="D66" s="2" t="str">
        <f t="shared" ca="1" si="88"/>
        <v/>
      </c>
      <c r="H66" s="33">
        <f t="shared" si="66"/>
        <v>250000</v>
      </c>
      <c r="J66" s="33">
        <f t="shared" si="67"/>
        <v>250000</v>
      </c>
      <c r="L66" s="33">
        <f t="shared" si="89"/>
        <v>250000</v>
      </c>
      <c r="N66" s="33">
        <f t="shared" si="70"/>
        <v>250000</v>
      </c>
      <c r="Q66" s="2" t="str">
        <f t="shared" si="71"/>
        <v/>
      </c>
    </row>
    <row r="67" spans="1:17" x14ac:dyDescent="0.25">
      <c r="A67" s="34"/>
      <c r="D67" s="2" t="str">
        <f t="shared" ca="1" si="88"/>
        <v/>
      </c>
      <c r="H67" s="33">
        <f t="shared" si="66"/>
        <v>250000</v>
      </c>
      <c r="J67" s="33">
        <f t="shared" si="67"/>
        <v>250000</v>
      </c>
      <c r="L67" s="33">
        <f t="shared" si="89"/>
        <v>250000</v>
      </c>
      <c r="N67" s="33">
        <f t="shared" si="70"/>
        <v>250000</v>
      </c>
      <c r="Q67" s="2" t="str">
        <f t="shared" si="71"/>
        <v/>
      </c>
    </row>
    <row r="68" spans="1:17" x14ac:dyDescent="0.25">
      <c r="A68" s="34"/>
      <c r="D68" s="2" t="str">
        <f t="shared" ca="1" si="88"/>
        <v/>
      </c>
      <c r="H68" s="33">
        <f t="shared" si="66"/>
        <v>250000</v>
      </c>
      <c r="J68" s="33">
        <f t="shared" si="67"/>
        <v>250000</v>
      </c>
      <c r="L68" s="33">
        <f t="shared" si="89"/>
        <v>250000</v>
      </c>
      <c r="N68" s="33">
        <f t="shared" si="70"/>
        <v>250000</v>
      </c>
      <c r="Q68" s="2" t="str">
        <f t="shared" si="71"/>
        <v/>
      </c>
    </row>
    <row r="69" spans="1:17" x14ac:dyDescent="0.25">
      <c r="A69" s="34"/>
      <c r="D69" s="2" t="str">
        <f t="shared" ca="1" si="88"/>
        <v/>
      </c>
      <c r="H69" s="33">
        <f t="shared" si="66"/>
        <v>250000</v>
      </c>
      <c r="J69" s="33">
        <f t="shared" si="67"/>
        <v>250000</v>
      </c>
      <c r="L69" s="33">
        <f t="shared" si="89"/>
        <v>250000</v>
      </c>
      <c r="N69" s="33">
        <f t="shared" si="70"/>
        <v>250000</v>
      </c>
      <c r="Q69" s="2" t="str">
        <f t="shared" si="71"/>
        <v/>
      </c>
    </row>
    <row r="70" spans="1:17" x14ac:dyDescent="0.25">
      <c r="A70" s="34"/>
      <c r="D70" s="2" t="str">
        <f t="shared" ca="1" si="88"/>
        <v/>
      </c>
      <c r="H70" s="33">
        <f t="shared" si="66"/>
        <v>250000</v>
      </c>
      <c r="J70" s="33">
        <f t="shared" si="67"/>
        <v>250000</v>
      </c>
      <c r="L70" s="33">
        <f t="shared" si="89"/>
        <v>250000</v>
      </c>
      <c r="N70" s="33">
        <f t="shared" si="70"/>
        <v>250000</v>
      </c>
      <c r="Q70" s="2" t="str">
        <f t="shared" si="71"/>
        <v/>
      </c>
    </row>
    <row r="71" spans="1:17" x14ac:dyDescent="0.25">
      <c r="A71" s="34"/>
      <c r="D71" s="2" t="str">
        <f t="shared" ca="1" si="88"/>
        <v/>
      </c>
      <c r="H71" s="33">
        <f t="shared" si="66"/>
        <v>250000</v>
      </c>
      <c r="J71" s="33">
        <f t="shared" si="67"/>
        <v>250000</v>
      </c>
      <c r="L71" s="33">
        <f t="shared" si="89"/>
        <v>250000</v>
      </c>
      <c r="N71" s="33">
        <f t="shared" si="70"/>
        <v>250000</v>
      </c>
      <c r="Q71" s="2" t="str">
        <f t="shared" si="71"/>
        <v/>
      </c>
    </row>
    <row r="72" spans="1:17" x14ac:dyDescent="0.25">
      <c r="A72" s="34"/>
      <c r="D72" s="2" t="str">
        <f t="shared" ref="D72:D103" ca="1" si="90">IF(B72="", "", IF(C72="", "En attente de date", IF((C72-TODAY())&lt;=0, "Urgent (J-0)", IF((C72-TODAY())&lt;=7, "Relance à J-7", IF(E72&gt;0, "Déjà relancé", "Dans les temps")))))</f>
        <v/>
      </c>
      <c r="H72" s="33">
        <f t="shared" ref="H72:H103" si="91">IF(C72="Cameroun", 75000, IF(OR(C72="Gabon", C72="Congo (RDC)", C72="Congo", C72="Tchad", C72="RCA", C72="Guinée Équatoriale"), 150000, IF(C72&lt;&gt;"", 200000, 250000)))</f>
        <v>250000</v>
      </c>
      <c r="J72" s="33">
        <f t="shared" ref="J72:J103" si="92">H72-I72</f>
        <v>250000</v>
      </c>
      <c r="L72" s="33">
        <f t="shared" ref="L72:L103" si="93">IF(G72="Cameroun", 75000, IF(OR(G72="Gabon", G72="Congo (RDC)", G72="Congo", G72="Tchad", G72="RCA", G72="Guinée Équatoriale"), 150000, IF(G72&lt;&gt;"", 200000, 250000)))</f>
        <v>250000</v>
      </c>
      <c r="N72" s="33">
        <f t="shared" ref="N72:N103" si="94">L72-M72</f>
        <v>250000</v>
      </c>
      <c r="Q72" s="2" t="str">
        <f t="shared" ref="Q72:Q103" si="95">IF(B72="","","https://wa.me/"&amp;SUBSTITUTE(SUBSTITUTE(SUBSTITUTE(B72,"+","")," ",""),"-","")&amp;"?text="&amp;SUBSTITUTE(P72," ","%20"))</f>
        <v/>
      </c>
    </row>
    <row r="73" spans="1:17" x14ac:dyDescent="0.25">
      <c r="A73" s="34"/>
      <c r="D73" s="2" t="str">
        <f t="shared" ca="1" si="90"/>
        <v/>
      </c>
      <c r="H73" s="33">
        <f t="shared" si="91"/>
        <v>250000</v>
      </c>
      <c r="J73" s="33">
        <f t="shared" si="92"/>
        <v>250000</v>
      </c>
      <c r="L73" s="33">
        <f t="shared" si="93"/>
        <v>250000</v>
      </c>
      <c r="N73" s="33">
        <f t="shared" si="94"/>
        <v>250000</v>
      </c>
      <c r="Q73" s="2" t="str">
        <f t="shared" si="95"/>
        <v/>
      </c>
    </row>
    <row r="74" spans="1:17" x14ac:dyDescent="0.25">
      <c r="A74" s="34"/>
      <c r="D74" s="2" t="str">
        <f t="shared" ca="1" si="90"/>
        <v/>
      </c>
      <c r="H74" s="33">
        <f t="shared" si="91"/>
        <v>250000</v>
      </c>
      <c r="J74" s="33">
        <f t="shared" si="92"/>
        <v>250000</v>
      </c>
      <c r="L74" s="33">
        <f t="shared" si="93"/>
        <v>250000</v>
      </c>
      <c r="N74" s="33">
        <f t="shared" si="94"/>
        <v>250000</v>
      </c>
      <c r="Q74" s="2" t="str">
        <f t="shared" si="95"/>
        <v/>
      </c>
    </row>
    <row r="75" spans="1:17" x14ac:dyDescent="0.25">
      <c r="A75" s="34"/>
      <c r="D75" s="2" t="str">
        <f t="shared" ca="1" si="90"/>
        <v/>
      </c>
      <c r="H75" s="33">
        <f t="shared" si="91"/>
        <v>250000</v>
      </c>
      <c r="J75" s="33">
        <f t="shared" si="92"/>
        <v>250000</v>
      </c>
      <c r="L75" s="33">
        <f t="shared" si="93"/>
        <v>250000</v>
      </c>
      <c r="N75" s="33">
        <f t="shared" si="94"/>
        <v>250000</v>
      </c>
      <c r="Q75" s="2" t="str">
        <f t="shared" si="95"/>
        <v/>
      </c>
    </row>
    <row r="76" spans="1:17" x14ac:dyDescent="0.25">
      <c r="A76" s="34"/>
      <c r="D76" s="2" t="str">
        <f t="shared" ca="1" si="90"/>
        <v/>
      </c>
      <c r="H76" s="33">
        <f t="shared" si="91"/>
        <v>250000</v>
      </c>
      <c r="J76" s="33">
        <f t="shared" si="92"/>
        <v>250000</v>
      </c>
      <c r="L76" s="33">
        <f t="shared" si="93"/>
        <v>250000</v>
      </c>
      <c r="N76" s="33">
        <f t="shared" si="94"/>
        <v>250000</v>
      </c>
      <c r="Q76" s="2" t="str">
        <f t="shared" si="95"/>
        <v/>
      </c>
    </row>
    <row r="77" spans="1:17" x14ac:dyDescent="0.25">
      <c r="A77" s="34"/>
      <c r="D77" s="2" t="str">
        <f t="shared" ca="1" si="90"/>
        <v/>
      </c>
      <c r="H77" s="33">
        <f t="shared" si="91"/>
        <v>250000</v>
      </c>
      <c r="J77" s="33">
        <f t="shared" si="92"/>
        <v>250000</v>
      </c>
      <c r="L77" s="33">
        <f t="shared" si="93"/>
        <v>250000</v>
      </c>
      <c r="N77" s="33">
        <f t="shared" si="94"/>
        <v>250000</v>
      </c>
      <c r="Q77" s="2" t="str">
        <f t="shared" si="95"/>
        <v/>
      </c>
    </row>
    <row r="78" spans="1:17" x14ac:dyDescent="0.25">
      <c r="A78" s="34"/>
      <c r="D78" s="2" t="str">
        <f t="shared" ca="1" si="90"/>
        <v/>
      </c>
      <c r="H78" s="33">
        <f t="shared" si="91"/>
        <v>250000</v>
      </c>
      <c r="J78" s="33">
        <f t="shared" si="92"/>
        <v>250000</v>
      </c>
      <c r="L78" s="33">
        <f t="shared" si="93"/>
        <v>250000</v>
      </c>
      <c r="N78" s="33">
        <f t="shared" si="94"/>
        <v>250000</v>
      </c>
      <c r="Q78" s="2" t="str">
        <f t="shared" si="95"/>
        <v/>
      </c>
    </row>
    <row r="79" spans="1:17" x14ac:dyDescent="0.25">
      <c r="A79" s="34"/>
      <c r="D79" s="2" t="str">
        <f t="shared" ca="1" si="90"/>
        <v/>
      </c>
      <c r="H79" s="33">
        <f t="shared" si="91"/>
        <v>250000</v>
      </c>
      <c r="J79" s="33">
        <f t="shared" si="92"/>
        <v>250000</v>
      </c>
      <c r="L79" s="33">
        <f t="shared" si="93"/>
        <v>250000</v>
      </c>
      <c r="N79" s="33">
        <f t="shared" si="94"/>
        <v>250000</v>
      </c>
      <c r="Q79" s="2" t="str">
        <f t="shared" si="95"/>
        <v/>
      </c>
    </row>
    <row r="80" spans="1:17" x14ac:dyDescent="0.25">
      <c r="A80" s="34"/>
      <c r="D80" s="2" t="str">
        <f t="shared" ca="1" si="90"/>
        <v/>
      </c>
      <c r="H80" s="33">
        <f t="shared" si="91"/>
        <v>250000</v>
      </c>
      <c r="J80" s="33">
        <f t="shared" si="92"/>
        <v>250000</v>
      </c>
      <c r="L80" s="33">
        <f t="shared" si="93"/>
        <v>250000</v>
      </c>
      <c r="N80" s="33">
        <f t="shared" si="94"/>
        <v>250000</v>
      </c>
      <c r="Q80" s="2" t="str">
        <f t="shared" si="95"/>
        <v/>
      </c>
    </row>
    <row r="81" spans="1:17" x14ac:dyDescent="0.25">
      <c r="A81" s="34"/>
      <c r="D81" s="2" t="str">
        <f t="shared" ca="1" si="90"/>
        <v/>
      </c>
      <c r="H81" s="33">
        <f t="shared" si="91"/>
        <v>250000</v>
      </c>
      <c r="J81" s="33">
        <f t="shared" si="92"/>
        <v>250000</v>
      </c>
      <c r="L81" s="33">
        <f t="shared" si="93"/>
        <v>250000</v>
      </c>
      <c r="N81" s="33">
        <f t="shared" si="94"/>
        <v>250000</v>
      </c>
      <c r="Q81" s="2" t="str">
        <f t="shared" si="95"/>
        <v/>
      </c>
    </row>
    <row r="82" spans="1:17" x14ac:dyDescent="0.25">
      <c r="A82" s="34"/>
      <c r="D82" s="2" t="str">
        <f t="shared" ca="1" si="90"/>
        <v/>
      </c>
      <c r="H82" s="33">
        <f t="shared" si="91"/>
        <v>250000</v>
      </c>
      <c r="J82" s="33">
        <f t="shared" si="92"/>
        <v>250000</v>
      </c>
      <c r="L82" s="33">
        <f t="shared" si="93"/>
        <v>250000</v>
      </c>
      <c r="N82" s="33">
        <f t="shared" si="94"/>
        <v>250000</v>
      </c>
      <c r="Q82" s="2" t="str">
        <f t="shared" si="95"/>
        <v/>
      </c>
    </row>
    <row r="83" spans="1:17" x14ac:dyDescent="0.25">
      <c r="A83" s="34"/>
      <c r="D83" s="2" t="str">
        <f t="shared" ca="1" si="90"/>
        <v/>
      </c>
      <c r="H83" s="33">
        <f t="shared" si="91"/>
        <v>250000</v>
      </c>
      <c r="J83" s="33">
        <f t="shared" si="92"/>
        <v>250000</v>
      </c>
      <c r="L83" s="33">
        <f t="shared" si="93"/>
        <v>250000</v>
      </c>
      <c r="N83" s="33">
        <f t="shared" si="94"/>
        <v>250000</v>
      </c>
      <c r="Q83" s="2" t="str">
        <f t="shared" si="95"/>
        <v/>
      </c>
    </row>
    <row r="84" spans="1:17" x14ac:dyDescent="0.25">
      <c r="A84" s="34"/>
      <c r="D84" s="2" t="str">
        <f t="shared" ca="1" si="90"/>
        <v/>
      </c>
      <c r="H84" s="33">
        <f t="shared" si="91"/>
        <v>250000</v>
      </c>
      <c r="J84" s="33">
        <f t="shared" si="92"/>
        <v>250000</v>
      </c>
      <c r="L84" s="33">
        <f t="shared" si="93"/>
        <v>250000</v>
      </c>
      <c r="N84" s="33">
        <f t="shared" si="94"/>
        <v>250000</v>
      </c>
      <c r="Q84" s="2" t="str">
        <f t="shared" si="95"/>
        <v/>
      </c>
    </row>
    <row r="85" spans="1:17" x14ac:dyDescent="0.25">
      <c r="A85" s="34"/>
      <c r="D85" s="2" t="str">
        <f t="shared" ca="1" si="90"/>
        <v/>
      </c>
      <c r="H85" s="33">
        <f t="shared" si="91"/>
        <v>250000</v>
      </c>
      <c r="J85" s="33">
        <f t="shared" si="92"/>
        <v>250000</v>
      </c>
      <c r="L85" s="33">
        <f t="shared" si="93"/>
        <v>250000</v>
      </c>
      <c r="N85" s="33">
        <f t="shared" si="94"/>
        <v>250000</v>
      </c>
      <c r="Q85" s="2" t="str">
        <f t="shared" si="95"/>
        <v/>
      </c>
    </row>
    <row r="86" spans="1:17" x14ac:dyDescent="0.25">
      <c r="A86" s="34"/>
      <c r="D86" s="2" t="str">
        <f t="shared" ca="1" si="90"/>
        <v/>
      </c>
      <c r="H86" s="33">
        <f t="shared" si="91"/>
        <v>250000</v>
      </c>
      <c r="J86" s="33">
        <f t="shared" si="92"/>
        <v>250000</v>
      </c>
      <c r="L86" s="33">
        <f t="shared" si="93"/>
        <v>250000</v>
      </c>
      <c r="N86" s="33">
        <f t="shared" si="94"/>
        <v>250000</v>
      </c>
      <c r="Q86" s="2" t="str">
        <f t="shared" si="95"/>
        <v/>
      </c>
    </row>
    <row r="87" spans="1:17" x14ac:dyDescent="0.25">
      <c r="A87" s="34"/>
      <c r="D87" s="2" t="str">
        <f t="shared" ca="1" si="90"/>
        <v/>
      </c>
      <c r="H87" s="33">
        <f t="shared" si="91"/>
        <v>250000</v>
      </c>
      <c r="J87" s="33">
        <f t="shared" si="92"/>
        <v>250000</v>
      </c>
      <c r="L87" s="33">
        <f t="shared" si="93"/>
        <v>250000</v>
      </c>
      <c r="N87" s="33">
        <f t="shared" si="94"/>
        <v>250000</v>
      </c>
      <c r="Q87" s="2" t="str">
        <f t="shared" si="95"/>
        <v/>
      </c>
    </row>
    <row r="88" spans="1:17" x14ac:dyDescent="0.25">
      <c r="A88" s="34"/>
      <c r="D88" s="2" t="str">
        <f t="shared" ca="1" si="90"/>
        <v/>
      </c>
      <c r="H88" s="33">
        <f t="shared" si="91"/>
        <v>250000</v>
      </c>
      <c r="J88" s="33">
        <f t="shared" si="92"/>
        <v>250000</v>
      </c>
      <c r="L88" s="33">
        <f t="shared" si="93"/>
        <v>250000</v>
      </c>
      <c r="N88" s="33">
        <f t="shared" si="94"/>
        <v>250000</v>
      </c>
      <c r="Q88" s="2" t="str">
        <f t="shared" si="95"/>
        <v/>
      </c>
    </row>
    <row r="89" spans="1:17" x14ac:dyDescent="0.25">
      <c r="A89" s="34"/>
      <c r="D89" s="2" t="str">
        <f t="shared" ca="1" si="90"/>
        <v/>
      </c>
      <c r="H89" s="33">
        <f t="shared" si="91"/>
        <v>250000</v>
      </c>
      <c r="J89" s="33">
        <f t="shared" si="92"/>
        <v>250000</v>
      </c>
      <c r="L89" s="33">
        <f t="shared" si="93"/>
        <v>250000</v>
      </c>
      <c r="N89" s="33">
        <f t="shared" si="94"/>
        <v>250000</v>
      </c>
      <c r="Q89" s="2" t="str">
        <f t="shared" si="95"/>
        <v/>
      </c>
    </row>
    <row r="90" spans="1:17" x14ac:dyDescent="0.25">
      <c r="A90" s="34"/>
      <c r="D90" s="2" t="str">
        <f t="shared" ca="1" si="90"/>
        <v/>
      </c>
      <c r="H90" s="33">
        <f t="shared" si="91"/>
        <v>250000</v>
      </c>
      <c r="J90" s="33">
        <f t="shared" si="92"/>
        <v>250000</v>
      </c>
      <c r="L90" s="33">
        <f t="shared" si="93"/>
        <v>250000</v>
      </c>
      <c r="N90" s="33">
        <f t="shared" si="94"/>
        <v>250000</v>
      </c>
      <c r="Q90" s="2" t="str">
        <f t="shared" si="95"/>
        <v/>
      </c>
    </row>
    <row r="91" spans="1:17" x14ac:dyDescent="0.25">
      <c r="A91" s="34"/>
      <c r="D91" s="2" t="str">
        <f t="shared" ca="1" si="90"/>
        <v/>
      </c>
      <c r="H91" s="33">
        <f t="shared" si="91"/>
        <v>250000</v>
      </c>
      <c r="J91" s="33">
        <f t="shared" si="92"/>
        <v>250000</v>
      </c>
      <c r="L91" s="33">
        <f t="shared" si="93"/>
        <v>250000</v>
      </c>
      <c r="N91" s="33">
        <f t="shared" si="94"/>
        <v>250000</v>
      </c>
      <c r="Q91" s="2" t="str">
        <f t="shared" si="95"/>
        <v/>
      </c>
    </row>
    <row r="92" spans="1:17" x14ac:dyDescent="0.25">
      <c r="A92" s="34"/>
      <c r="D92" s="2" t="str">
        <f t="shared" ca="1" si="90"/>
        <v/>
      </c>
      <c r="H92" s="33">
        <f t="shared" si="91"/>
        <v>250000</v>
      </c>
      <c r="J92" s="33">
        <f t="shared" si="92"/>
        <v>250000</v>
      </c>
      <c r="L92" s="33">
        <f t="shared" si="93"/>
        <v>250000</v>
      </c>
      <c r="N92" s="33">
        <f t="shared" si="94"/>
        <v>250000</v>
      </c>
      <c r="Q92" s="2" t="str">
        <f t="shared" si="95"/>
        <v/>
      </c>
    </row>
    <row r="93" spans="1:17" x14ac:dyDescent="0.25">
      <c r="A93" s="34"/>
      <c r="D93" s="2" t="str">
        <f t="shared" ca="1" si="90"/>
        <v/>
      </c>
      <c r="H93" s="33">
        <f t="shared" si="91"/>
        <v>250000</v>
      </c>
      <c r="J93" s="33">
        <f t="shared" si="92"/>
        <v>250000</v>
      </c>
      <c r="L93" s="33">
        <f t="shared" si="93"/>
        <v>250000</v>
      </c>
      <c r="N93" s="33">
        <f t="shared" si="94"/>
        <v>250000</v>
      </c>
      <c r="Q93" s="2" t="str">
        <f t="shared" si="95"/>
        <v/>
      </c>
    </row>
    <row r="94" spans="1:17" x14ac:dyDescent="0.25">
      <c r="A94" s="34"/>
      <c r="D94" s="2" t="str">
        <f t="shared" ca="1" si="90"/>
        <v/>
      </c>
      <c r="H94" s="33">
        <f t="shared" si="91"/>
        <v>250000</v>
      </c>
      <c r="J94" s="33">
        <f t="shared" si="92"/>
        <v>250000</v>
      </c>
      <c r="L94" s="33">
        <f t="shared" si="93"/>
        <v>250000</v>
      </c>
      <c r="N94" s="33">
        <f t="shared" si="94"/>
        <v>250000</v>
      </c>
      <c r="Q94" s="2" t="str">
        <f t="shared" si="95"/>
        <v/>
      </c>
    </row>
    <row r="95" spans="1:17" x14ac:dyDescent="0.25">
      <c r="A95" s="34"/>
      <c r="D95" s="2" t="str">
        <f t="shared" ca="1" si="90"/>
        <v/>
      </c>
      <c r="H95" s="33">
        <f t="shared" si="91"/>
        <v>250000</v>
      </c>
      <c r="J95" s="33">
        <f t="shared" si="92"/>
        <v>250000</v>
      </c>
      <c r="L95" s="33">
        <f t="shared" si="93"/>
        <v>250000</v>
      </c>
      <c r="N95" s="33">
        <f t="shared" si="94"/>
        <v>250000</v>
      </c>
      <c r="Q95" s="2" t="str">
        <f t="shared" si="95"/>
        <v/>
      </c>
    </row>
    <row r="96" spans="1:17" x14ac:dyDescent="0.25">
      <c r="A96" s="34"/>
      <c r="D96" s="2" t="str">
        <f t="shared" ca="1" si="90"/>
        <v/>
      </c>
      <c r="H96" s="33">
        <f t="shared" si="91"/>
        <v>250000</v>
      </c>
      <c r="J96" s="33">
        <f t="shared" si="92"/>
        <v>250000</v>
      </c>
      <c r="L96" s="33">
        <f t="shared" si="93"/>
        <v>250000</v>
      </c>
      <c r="N96" s="33">
        <f t="shared" si="94"/>
        <v>250000</v>
      </c>
      <c r="Q96" s="2" t="str">
        <f t="shared" si="95"/>
        <v/>
      </c>
    </row>
    <row r="97" spans="1:17" x14ac:dyDescent="0.25">
      <c r="A97" s="34"/>
      <c r="D97" s="2" t="str">
        <f t="shared" ca="1" si="90"/>
        <v/>
      </c>
      <c r="H97" s="33">
        <f t="shared" si="91"/>
        <v>250000</v>
      </c>
      <c r="J97" s="33">
        <f t="shared" si="92"/>
        <v>250000</v>
      </c>
      <c r="L97" s="33">
        <f t="shared" si="93"/>
        <v>250000</v>
      </c>
      <c r="N97" s="33">
        <f t="shared" si="94"/>
        <v>250000</v>
      </c>
      <c r="Q97" s="2" t="str">
        <f t="shared" si="95"/>
        <v/>
      </c>
    </row>
    <row r="98" spans="1:17" x14ac:dyDescent="0.25">
      <c r="A98" s="34"/>
      <c r="D98" s="2" t="str">
        <f t="shared" ca="1" si="90"/>
        <v/>
      </c>
      <c r="H98" s="33">
        <f t="shared" si="91"/>
        <v>250000</v>
      </c>
      <c r="J98" s="33">
        <f t="shared" si="92"/>
        <v>250000</v>
      </c>
      <c r="L98" s="33">
        <f t="shared" si="93"/>
        <v>250000</v>
      </c>
      <c r="N98" s="33">
        <f t="shared" si="94"/>
        <v>250000</v>
      </c>
      <c r="Q98" s="2" t="str">
        <f t="shared" si="95"/>
        <v/>
      </c>
    </row>
    <row r="99" spans="1:17" x14ac:dyDescent="0.25">
      <c r="A99" s="34"/>
      <c r="D99" s="2" t="str">
        <f t="shared" ca="1" si="90"/>
        <v/>
      </c>
      <c r="H99" s="33">
        <f t="shared" si="91"/>
        <v>250000</v>
      </c>
      <c r="J99" s="33">
        <f t="shared" si="92"/>
        <v>250000</v>
      </c>
      <c r="L99" s="33">
        <f t="shared" si="93"/>
        <v>250000</v>
      </c>
      <c r="N99" s="33">
        <f t="shared" si="94"/>
        <v>250000</v>
      </c>
      <c r="Q99" s="2" t="str">
        <f t="shared" si="95"/>
        <v/>
      </c>
    </row>
    <row r="100" spans="1:17" x14ac:dyDescent="0.25">
      <c r="A100" s="34"/>
      <c r="D100" s="2" t="str">
        <f t="shared" ca="1" si="90"/>
        <v/>
      </c>
      <c r="H100" s="33">
        <f t="shared" si="91"/>
        <v>250000</v>
      </c>
      <c r="J100" s="33">
        <f t="shared" si="92"/>
        <v>250000</v>
      </c>
      <c r="L100" s="33">
        <f t="shared" si="93"/>
        <v>250000</v>
      </c>
      <c r="N100" s="33">
        <f t="shared" si="94"/>
        <v>250000</v>
      </c>
      <c r="Q100" s="2" t="str">
        <f t="shared" si="95"/>
        <v/>
      </c>
    </row>
    <row r="101" spans="1:17" x14ac:dyDescent="0.25">
      <c r="A101" s="34"/>
      <c r="D101" s="2" t="str">
        <f t="shared" ca="1" si="90"/>
        <v/>
      </c>
      <c r="H101" s="33">
        <f t="shared" si="91"/>
        <v>250000</v>
      </c>
      <c r="J101" s="33">
        <f t="shared" si="92"/>
        <v>250000</v>
      </c>
      <c r="L101" s="33">
        <f t="shared" si="93"/>
        <v>250000</v>
      </c>
      <c r="N101" s="33">
        <f t="shared" si="94"/>
        <v>250000</v>
      </c>
      <c r="Q101" s="2" t="str">
        <f t="shared" si="95"/>
        <v/>
      </c>
    </row>
    <row r="102" spans="1:17" x14ac:dyDescent="0.25">
      <c r="A102" s="34"/>
      <c r="D102" s="2" t="str">
        <f t="shared" ca="1" si="90"/>
        <v/>
      </c>
      <c r="H102" s="33">
        <f t="shared" si="91"/>
        <v>250000</v>
      </c>
      <c r="J102" s="33">
        <f t="shared" si="92"/>
        <v>250000</v>
      </c>
      <c r="L102" s="33">
        <f t="shared" si="93"/>
        <v>250000</v>
      </c>
      <c r="N102" s="33">
        <f t="shared" si="94"/>
        <v>250000</v>
      </c>
      <c r="Q102" s="2" t="str">
        <f t="shared" si="95"/>
        <v/>
      </c>
    </row>
    <row r="103" spans="1:17" x14ac:dyDescent="0.25">
      <c r="A103" s="34"/>
      <c r="D103" s="2" t="str">
        <f t="shared" ca="1" si="90"/>
        <v/>
      </c>
      <c r="H103" s="33">
        <f t="shared" si="91"/>
        <v>250000</v>
      </c>
      <c r="J103" s="33">
        <f t="shared" si="92"/>
        <v>250000</v>
      </c>
      <c r="L103" s="33">
        <f t="shared" si="93"/>
        <v>250000</v>
      </c>
      <c r="N103" s="33">
        <f t="shared" si="94"/>
        <v>250000</v>
      </c>
      <c r="Q103" s="2" t="str">
        <f t="shared" si="95"/>
        <v/>
      </c>
    </row>
    <row r="104" spans="1:17" x14ac:dyDescent="0.25">
      <c r="A104" s="34"/>
      <c r="D104" s="2" t="str">
        <f t="shared" ref="D104:D135" ca="1" si="96">IF(B104="", "", IF(C104="", "En attente de date", IF((C104-TODAY())&lt;=0, "Urgent (J-0)", IF((C104-TODAY())&lt;=7, "Relance à J-7", IF(E104&gt;0, "Déjà relancé", "Dans les temps")))))</f>
        <v/>
      </c>
      <c r="H104" s="33">
        <f t="shared" ref="H104:H135" si="97">IF(C104="Cameroun", 75000, IF(OR(C104="Gabon", C104="Congo (RDC)", C104="Congo", C104="Tchad", C104="RCA", C104="Guinée Équatoriale"), 150000, IF(C104&lt;&gt;"", 200000, 250000)))</f>
        <v>250000</v>
      </c>
      <c r="J104" s="33">
        <f t="shared" ref="J104:J135" si="98">H104-I104</f>
        <v>250000</v>
      </c>
      <c r="L104" s="33">
        <f t="shared" ref="L104:L135" si="99">IF(G104="Cameroun", 75000, IF(OR(G104="Gabon", G104="Congo (RDC)", G104="Congo", G104="Tchad", G104="RCA", G104="Guinée Équatoriale"), 150000, IF(G104&lt;&gt;"", 200000, 250000)))</f>
        <v>250000</v>
      </c>
      <c r="N104" s="33">
        <f t="shared" ref="N104:N135" si="100">L104-M104</f>
        <v>250000</v>
      </c>
      <c r="Q104" s="2" t="str">
        <f t="shared" ref="Q104:Q135" si="101">IF(B104="","","https://wa.me/"&amp;SUBSTITUTE(SUBSTITUTE(SUBSTITUTE(B104,"+","")," ",""),"-","")&amp;"?text="&amp;SUBSTITUTE(P104," ","%20"))</f>
        <v/>
      </c>
    </row>
    <row r="105" spans="1:17" x14ac:dyDescent="0.25">
      <c r="A105" s="34"/>
      <c r="D105" s="2" t="str">
        <f t="shared" ca="1" si="96"/>
        <v/>
      </c>
      <c r="H105" s="33">
        <f t="shared" si="97"/>
        <v>250000</v>
      </c>
      <c r="J105" s="33">
        <f t="shared" si="98"/>
        <v>250000</v>
      </c>
      <c r="L105" s="33">
        <f t="shared" si="99"/>
        <v>250000</v>
      </c>
      <c r="N105" s="33">
        <f t="shared" si="100"/>
        <v>250000</v>
      </c>
      <c r="Q105" s="2" t="str">
        <f t="shared" si="101"/>
        <v/>
      </c>
    </row>
    <row r="106" spans="1:17" x14ac:dyDescent="0.25">
      <c r="A106" s="34"/>
      <c r="D106" s="2" t="str">
        <f t="shared" ca="1" si="96"/>
        <v/>
      </c>
      <c r="H106" s="33">
        <f t="shared" si="97"/>
        <v>250000</v>
      </c>
      <c r="J106" s="33">
        <f t="shared" si="98"/>
        <v>250000</v>
      </c>
      <c r="L106" s="33">
        <f t="shared" si="99"/>
        <v>250000</v>
      </c>
      <c r="N106" s="33">
        <f t="shared" si="100"/>
        <v>250000</v>
      </c>
      <c r="Q106" s="2" t="str">
        <f t="shared" si="101"/>
        <v/>
      </c>
    </row>
    <row r="107" spans="1:17" x14ac:dyDescent="0.25">
      <c r="A107" s="34"/>
      <c r="D107" s="2" t="str">
        <f t="shared" ca="1" si="96"/>
        <v/>
      </c>
      <c r="H107" s="33">
        <f t="shared" si="97"/>
        <v>250000</v>
      </c>
      <c r="J107" s="33">
        <f t="shared" si="98"/>
        <v>250000</v>
      </c>
      <c r="L107" s="33">
        <f t="shared" si="99"/>
        <v>250000</v>
      </c>
      <c r="N107" s="33">
        <f t="shared" si="100"/>
        <v>250000</v>
      </c>
      <c r="Q107" s="2" t="str">
        <f t="shared" si="101"/>
        <v/>
      </c>
    </row>
    <row r="108" spans="1:17" x14ac:dyDescent="0.25">
      <c r="A108" s="34"/>
      <c r="D108" s="2" t="str">
        <f t="shared" ca="1" si="96"/>
        <v/>
      </c>
      <c r="H108" s="33">
        <f t="shared" si="97"/>
        <v>250000</v>
      </c>
      <c r="J108" s="33">
        <f t="shared" si="98"/>
        <v>250000</v>
      </c>
      <c r="L108" s="33">
        <f t="shared" si="99"/>
        <v>250000</v>
      </c>
      <c r="N108" s="33">
        <f t="shared" si="100"/>
        <v>250000</v>
      </c>
      <c r="Q108" s="2" t="str">
        <f t="shared" si="101"/>
        <v/>
      </c>
    </row>
    <row r="109" spans="1:17" x14ac:dyDescent="0.25">
      <c r="A109" s="34"/>
      <c r="D109" s="2" t="str">
        <f t="shared" ca="1" si="96"/>
        <v/>
      </c>
      <c r="H109" s="33">
        <f t="shared" si="97"/>
        <v>250000</v>
      </c>
      <c r="J109" s="33">
        <f t="shared" si="98"/>
        <v>250000</v>
      </c>
      <c r="L109" s="33">
        <f t="shared" si="99"/>
        <v>250000</v>
      </c>
      <c r="N109" s="33">
        <f t="shared" si="100"/>
        <v>250000</v>
      </c>
      <c r="Q109" s="2" t="str">
        <f t="shared" si="101"/>
        <v/>
      </c>
    </row>
    <row r="110" spans="1:17" x14ac:dyDescent="0.25">
      <c r="A110" s="34"/>
      <c r="D110" s="2" t="str">
        <f t="shared" ca="1" si="96"/>
        <v/>
      </c>
      <c r="H110" s="33">
        <f t="shared" si="97"/>
        <v>250000</v>
      </c>
      <c r="J110" s="33">
        <f t="shared" si="98"/>
        <v>250000</v>
      </c>
      <c r="L110" s="33">
        <f t="shared" si="99"/>
        <v>250000</v>
      </c>
      <c r="N110" s="33">
        <f t="shared" si="100"/>
        <v>250000</v>
      </c>
      <c r="Q110" s="2" t="str">
        <f t="shared" si="101"/>
        <v/>
      </c>
    </row>
    <row r="111" spans="1:17" x14ac:dyDescent="0.25">
      <c r="A111" s="34"/>
      <c r="D111" s="2" t="str">
        <f t="shared" ca="1" si="96"/>
        <v/>
      </c>
      <c r="H111" s="33">
        <f t="shared" si="97"/>
        <v>250000</v>
      </c>
      <c r="J111" s="33">
        <f t="shared" si="98"/>
        <v>250000</v>
      </c>
      <c r="L111" s="33">
        <f t="shared" si="99"/>
        <v>250000</v>
      </c>
      <c r="N111" s="33">
        <f t="shared" si="100"/>
        <v>250000</v>
      </c>
      <c r="Q111" s="2" t="str">
        <f t="shared" si="101"/>
        <v/>
      </c>
    </row>
    <row r="112" spans="1:17" x14ac:dyDescent="0.25">
      <c r="A112" s="34"/>
      <c r="D112" s="2" t="str">
        <f t="shared" ca="1" si="96"/>
        <v/>
      </c>
      <c r="H112" s="33">
        <f t="shared" si="97"/>
        <v>250000</v>
      </c>
      <c r="J112" s="33">
        <f t="shared" si="98"/>
        <v>250000</v>
      </c>
      <c r="L112" s="33">
        <f t="shared" si="99"/>
        <v>250000</v>
      </c>
      <c r="N112" s="33">
        <f t="shared" si="100"/>
        <v>250000</v>
      </c>
      <c r="Q112" s="2" t="str">
        <f t="shared" si="101"/>
        <v/>
      </c>
    </row>
    <row r="113" spans="1:17" x14ac:dyDescent="0.25">
      <c r="A113" s="34"/>
      <c r="D113" s="2" t="str">
        <f t="shared" ca="1" si="96"/>
        <v/>
      </c>
      <c r="H113" s="33">
        <f t="shared" si="97"/>
        <v>250000</v>
      </c>
      <c r="J113" s="33">
        <f t="shared" si="98"/>
        <v>250000</v>
      </c>
      <c r="L113" s="33">
        <f t="shared" si="99"/>
        <v>250000</v>
      </c>
      <c r="N113" s="33">
        <f t="shared" si="100"/>
        <v>250000</v>
      </c>
      <c r="Q113" s="2" t="str">
        <f t="shared" si="101"/>
        <v/>
      </c>
    </row>
    <row r="114" spans="1:17" x14ac:dyDescent="0.25">
      <c r="A114" s="34"/>
      <c r="D114" s="2" t="str">
        <f t="shared" ca="1" si="96"/>
        <v/>
      </c>
      <c r="H114" s="33">
        <f t="shared" si="97"/>
        <v>250000</v>
      </c>
      <c r="J114" s="33">
        <f t="shared" si="98"/>
        <v>250000</v>
      </c>
      <c r="L114" s="33">
        <f t="shared" si="99"/>
        <v>250000</v>
      </c>
      <c r="N114" s="33">
        <f t="shared" si="100"/>
        <v>250000</v>
      </c>
      <c r="Q114" s="2" t="str">
        <f t="shared" si="101"/>
        <v/>
      </c>
    </row>
    <row r="115" spans="1:17" x14ac:dyDescent="0.25">
      <c r="A115" s="34"/>
      <c r="D115" s="2" t="str">
        <f t="shared" ca="1" si="96"/>
        <v/>
      </c>
      <c r="H115" s="33">
        <f t="shared" si="97"/>
        <v>250000</v>
      </c>
      <c r="J115" s="33">
        <f t="shared" si="98"/>
        <v>250000</v>
      </c>
      <c r="L115" s="33">
        <f t="shared" si="99"/>
        <v>250000</v>
      </c>
      <c r="N115" s="33">
        <f t="shared" si="100"/>
        <v>250000</v>
      </c>
      <c r="Q115" s="2" t="str">
        <f t="shared" si="101"/>
        <v/>
      </c>
    </row>
    <row r="116" spans="1:17" x14ac:dyDescent="0.25">
      <c r="A116" s="34"/>
      <c r="D116" s="2" t="str">
        <f t="shared" ca="1" si="96"/>
        <v/>
      </c>
      <c r="H116" s="33">
        <f t="shared" si="97"/>
        <v>250000</v>
      </c>
      <c r="J116" s="33">
        <f t="shared" si="98"/>
        <v>250000</v>
      </c>
      <c r="L116" s="33">
        <f t="shared" si="99"/>
        <v>250000</v>
      </c>
      <c r="N116" s="33">
        <f t="shared" si="100"/>
        <v>250000</v>
      </c>
      <c r="Q116" s="2" t="str">
        <f t="shared" si="101"/>
        <v/>
      </c>
    </row>
    <row r="117" spans="1:17" x14ac:dyDescent="0.25">
      <c r="A117" s="34"/>
      <c r="D117" s="2" t="str">
        <f t="shared" ca="1" si="96"/>
        <v/>
      </c>
      <c r="H117" s="33">
        <f t="shared" si="97"/>
        <v>250000</v>
      </c>
      <c r="J117" s="33">
        <f t="shared" si="98"/>
        <v>250000</v>
      </c>
      <c r="L117" s="33">
        <f t="shared" si="99"/>
        <v>250000</v>
      </c>
      <c r="N117" s="33">
        <f t="shared" si="100"/>
        <v>250000</v>
      </c>
      <c r="Q117" s="2" t="str">
        <f t="shared" si="101"/>
        <v/>
      </c>
    </row>
    <row r="118" spans="1:17" x14ac:dyDescent="0.25">
      <c r="A118" s="34"/>
      <c r="D118" s="2" t="str">
        <f t="shared" ca="1" si="96"/>
        <v/>
      </c>
      <c r="H118" s="33">
        <f t="shared" si="97"/>
        <v>250000</v>
      </c>
      <c r="J118" s="33">
        <f t="shared" si="98"/>
        <v>250000</v>
      </c>
      <c r="L118" s="33">
        <f t="shared" si="99"/>
        <v>250000</v>
      </c>
      <c r="N118" s="33">
        <f t="shared" si="100"/>
        <v>250000</v>
      </c>
      <c r="Q118" s="2" t="str">
        <f t="shared" si="101"/>
        <v/>
      </c>
    </row>
    <row r="119" spans="1:17" x14ac:dyDescent="0.25">
      <c r="A119" s="34"/>
      <c r="D119" s="2" t="str">
        <f t="shared" ca="1" si="96"/>
        <v/>
      </c>
      <c r="H119" s="33">
        <f t="shared" si="97"/>
        <v>250000</v>
      </c>
      <c r="J119" s="33">
        <f t="shared" si="98"/>
        <v>250000</v>
      </c>
      <c r="L119" s="33">
        <f t="shared" si="99"/>
        <v>250000</v>
      </c>
      <c r="N119" s="33">
        <f t="shared" si="100"/>
        <v>250000</v>
      </c>
      <c r="Q119" s="2" t="str">
        <f t="shared" si="101"/>
        <v/>
      </c>
    </row>
    <row r="120" spans="1:17" x14ac:dyDescent="0.25">
      <c r="A120" s="34"/>
      <c r="D120" s="2" t="str">
        <f t="shared" ca="1" si="96"/>
        <v/>
      </c>
      <c r="H120" s="33">
        <f t="shared" si="97"/>
        <v>250000</v>
      </c>
      <c r="J120" s="33">
        <f t="shared" si="98"/>
        <v>250000</v>
      </c>
      <c r="L120" s="33">
        <f t="shared" si="99"/>
        <v>250000</v>
      </c>
      <c r="N120" s="33">
        <f t="shared" si="100"/>
        <v>250000</v>
      </c>
      <c r="Q120" s="2" t="str">
        <f t="shared" si="101"/>
        <v/>
      </c>
    </row>
    <row r="121" spans="1:17" x14ac:dyDescent="0.25">
      <c r="A121" s="34"/>
      <c r="D121" s="2" t="str">
        <f t="shared" ca="1" si="96"/>
        <v/>
      </c>
      <c r="H121" s="33">
        <f t="shared" si="97"/>
        <v>250000</v>
      </c>
      <c r="J121" s="33">
        <f t="shared" si="98"/>
        <v>250000</v>
      </c>
      <c r="L121" s="33">
        <f t="shared" si="99"/>
        <v>250000</v>
      </c>
      <c r="N121" s="33">
        <f t="shared" si="100"/>
        <v>250000</v>
      </c>
      <c r="Q121" s="2" t="str">
        <f t="shared" si="101"/>
        <v/>
      </c>
    </row>
    <row r="122" spans="1:17" x14ac:dyDescent="0.25">
      <c r="A122" s="34"/>
      <c r="D122" s="2" t="str">
        <f t="shared" ca="1" si="96"/>
        <v/>
      </c>
      <c r="H122" s="33">
        <f t="shared" si="97"/>
        <v>250000</v>
      </c>
      <c r="J122" s="33">
        <f t="shared" si="98"/>
        <v>250000</v>
      </c>
      <c r="L122" s="33">
        <f t="shared" si="99"/>
        <v>250000</v>
      </c>
      <c r="N122" s="33">
        <f t="shared" si="100"/>
        <v>250000</v>
      </c>
      <c r="Q122" s="2" t="str">
        <f t="shared" si="101"/>
        <v/>
      </c>
    </row>
    <row r="123" spans="1:17" x14ac:dyDescent="0.25">
      <c r="A123" s="34"/>
      <c r="D123" s="2" t="str">
        <f t="shared" ca="1" si="96"/>
        <v/>
      </c>
      <c r="H123" s="33">
        <f t="shared" si="97"/>
        <v>250000</v>
      </c>
      <c r="J123" s="33">
        <f t="shared" si="98"/>
        <v>250000</v>
      </c>
      <c r="L123" s="33">
        <f t="shared" si="99"/>
        <v>250000</v>
      </c>
      <c r="N123" s="33">
        <f t="shared" si="100"/>
        <v>250000</v>
      </c>
      <c r="Q123" s="2" t="str">
        <f t="shared" si="101"/>
        <v/>
      </c>
    </row>
    <row r="124" spans="1:17" x14ac:dyDescent="0.25">
      <c r="A124" s="34"/>
      <c r="D124" s="2" t="str">
        <f t="shared" ca="1" si="96"/>
        <v/>
      </c>
      <c r="H124" s="33">
        <f t="shared" si="97"/>
        <v>250000</v>
      </c>
      <c r="J124" s="33">
        <f t="shared" si="98"/>
        <v>250000</v>
      </c>
      <c r="L124" s="33">
        <f t="shared" si="99"/>
        <v>250000</v>
      </c>
      <c r="N124" s="33">
        <f t="shared" si="100"/>
        <v>250000</v>
      </c>
      <c r="Q124" s="2" t="str">
        <f t="shared" si="101"/>
        <v/>
      </c>
    </row>
    <row r="125" spans="1:17" x14ac:dyDescent="0.25">
      <c r="A125" s="34"/>
      <c r="D125" s="2" t="str">
        <f t="shared" ca="1" si="96"/>
        <v/>
      </c>
      <c r="H125" s="33">
        <f t="shared" si="97"/>
        <v>250000</v>
      </c>
      <c r="J125" s="33">
        <f t="shared" si="98"/>
        <v>250000</v>
      </c>
      <c r="L125" s="33">
        <f t="shared" si="99"/>
        <v>250000</v>
      </c>
      <c r="N125" s="33">
        <f t="shared" si="100"/>
        <v>250000</v>
      </c>
      <c r="Q125" s="2" t="str">
        <f t="shared" si="101"/>
        <v/>
      </c>
    </row>
    <row r="126" spans="1:17" x14ac:dyDescent="0.25">
      <c r="A126" s="34"/>
      <c r="D126" s="2" t="str">
        <f t="shared" ca="1" si="96"/>
        <v/>
      </c>
      <c r="H126" s="33">
        <f t="shared" si="97"/>
        <v>250000</v>
      </c>
      <c r="J126" s="33">
        <f t="shared" si="98"/>
        <v>250000</v>
      </c>
      <c r="L126" s="33">
        <f t="shared" si="99"/>
        <v>250000</v>
      </c>
      <c r="N126" s="33">
        <f t="shared" si="100"/>
        <v>250000</v>
      </c>
      <c r="Q126" s="2" t="str">
        <f t="shared" si="101"/>
        <v/>
      </c>
    </row>
    <row r="127" spans="1:17" x14ac:dyDescent="0.25">
      <c r="A127" s="34"/>
      <c r="D127" s="2" t="str">
        <f t="shared" ca="1" si="96"/>
        <v/>
      </c>
      <c r="H127" s="33">
        <f t="shared" si="97"/>
        <v>250000</v>
      </c>
      <c r="J127" s="33">
        <f t="shared" si="98"/>
        <v>250000</v>
      </c>
      <c r="L127" s="33">
        <f t="shared" si="99"/>
        <v>250000</v>
      </c>
      <c r="N127" s="33">
        <f t="shared" si="100"/>
        <v>250000</v>
      </c>
      <c r="Q127" s="2" t="str">
        <f t="shared" si="101"/>
        <v/>
      </c>
    </row>
    <row r="128" spans="1:17" x14ac:dyDescent="0.25">
      <c r="A128" s="34"/>
      <c r="D128" s="2" t="str">
        <f t="shared" ca="1" si="96"/>
        <v/>
      </c>
      <c r="H128" s="33">
        <f t="shared" si="97"/>
        <v>250000</v>
      </c>
      <c r="J128" s="33">
        <f t="shared" si="98"/>
        <v>250000</v>
      </c>
      <c r="L128" s="33">
        <f t="shared" si="99"/>
        <v>250000</v>
      </c>
      <c r="N128" s="33">
        <f t="shared" si="100"/>
        <v>250000</v>
      </c>
      <c r="Q128" s="2" t="str">
        <f t="shared" si="101"/>
        <v/>
      </c>
    </row>
    <row r="129" spans="1:17" x14ac:dyDescent="0.25">
      <c r="A129" s="34"/>
      <c r="D129" s="2" t="str">
        <f t="shared" ca="1" si="96"/>
        <v/>
      </c>
      <c r="H129" s="33">
        <f t="shared" si="97"/>
        <v>250000</v>
      </c>
      <c r="J129" s="33">
        <f t="shared" si="98"/>
        <v>250000</v>
      </c>
      <c r="L129" s="33">
        <f t="shared" si="99"/>
        <v>250000</v>
      </c>
      <c r="N129" s="33">
        <f t="shared" si="100"/>
        <v>250000</v>
      </c>
      <c r="Q129" s="2" t="str">
        <f t="shared" si="101"/>
        <v/>
      </c>
    </row>
    <row r="130" spans="1:17" x14ac:dyDescent="0.25">
      <c r="A130" s="34"/>
      <c r="D130" s="2" t="str">
        <f t="shared" ca="1" si="96"/>
        <v/>
      </c>
      <c r="H130" s="33">
        <f t="shared" si="97"/>
        <v>250000</v>
      </c>
      <c r="J130" s="33">
        <f t="shared" si="98"/>
        <v>250000</v>
      </c>
      <c r="L130" s="33">
        <f t="shared" si="99"/>
        <v>250000</v>
      </c>
      <c r="N130" s="33">
        <f t="shared" si="100"/>
        <v>250000</v>
      </c>
      <c r="Q130" s="2" t="str">
        <f t="shared" si="101"/>
        <v/>
      </c>
    </row>
    <row r="131" spans="1:17" x14ac:dyDescent="0.25">
      <c r="A131" s="34"/>
      <c r="D131" s="2" t="str">
        <f t="shared" ca="1" si="96"/>
        <v/>
      </c>
      <c r="H131" s="33">
        <f t="shared" si="97"/>
        <v>250000</v>
      </c>
      <c r="J131" s="33">
        <f t="shared" si="98"/>
        <v>250000</v>
      </c>
      <c r="L131" s="33">
        <f t="shared" si="99"/>
        <v>250000</v>
      </c>
      <c r="N131" s="33">
        <f t="shared" si="100"/>
        <v>250000</v>
      </c>
      <c r="Q131" s="2" t="str">
        <f t="shared" si="101"/>
        <v/>
      </c>
    </row>
    <row r="132" spans="1:17" x14ac:dyDescent="0.25">
      <c r="A132" s="34"/>
      <c r="D132" s="2" t="str">
        <f t="shared" ca="1" si="96"/>
        <v/>
      </c>
      <c r="H132" s="33">
        <f t="shared" si="97"/>
        <v>250000</v>
      </c>
      <c r="J132" s="33">
        <f t="shared" si="98"/>
        <v>250000</v>
      </c>
      <c r="L132" s="33">
        <f t="shared" si="99"/>
        <v>250000</v>
      </c>
      <c r="N132" s="33">
        <f t="shared" si="100"/>
        <v>250000</v>
      </c>
      <c r="Q132" s="2" t="str">
        <f t="shared" si="101"/>
        <v/>
      </c>
    </row>
    <row r="133" spans="1:17" x14ac:dyDescent="0.25">
      <c r="A133" s="34"/>
      <c r="D133" s="2" t="str">
        <f t="shared" ca="1" si="96"/>
        <v/>
      </c>
      <c r="H133" s="33">
        <f t="shared" si="97"/>
        <v>250000</v>
      </c>
      <c r="J133" s="33">
        <f t="shared" si="98"/>
        <v>250000</v>
      </c>
      <c r="L133" s="33">
        <f t="shared" si="99"/>
        <v>250000</v>
      </c>
      <c r="N133" s="33">
        <f t="shared" si="100"/>
        <v>250000</v>
      </c>
      <c r="Q133" s="2" t="str">
        <f t="shared" si="101"/>
        <v/>
      </c>
    </row>
    <row r="134" spans="1:17" x14ac:dyDescent="0.25">
      <c r="A134" s="34"/>
      <c r="D134" s="2" t="str">
        <f t="shared" ca="1" si="96"/>
        <v/>
      </c>
      <c r="H134" s="33">
        <f t="shared" si="97"/>
        <v>250000</v>
      </c>
      <c r="J134" s="33">
        <f t="shared" si="98"/>
        <v>250000</v>
      </c>
      <c r="L134" s="33">
        <f t="shared" si="99"/>
        <v>250000</v>
      </c>
      <c r="N134" s="33">
        <f t="shared" si="100"/>
        <v>250000</v>
      </c>
      <c r="Q134" s="2" t="str">
        <f t="shared" si="101"/>
        <v/>
      </c>
    </row>
    <row r="135" spans="1:17" x14ac:dyDescent="0.25">
      <c r="A135" s="34"/>
      <c r="D135" s="2" t="str">
        <f t="shared" ca="1" si="96"/>
        <v/>
      </c>
      <c r="H135" s="33">
        <f t="shared" si="97"/>
        <v>250000</v>
      </c>
      <c r="J135" s="33">
        <f t="shared" si="98"/>
        <v>250000</v>
      </c>
      <c r="L135" s="33">
        <f t="shared" si="99"/>
        <v>250000</v>
      </c>
      <c r="N135" s="33">
        <f t="shared" si="100"/>
        <v>250000</v>
      </c>
      <c r="Q135" s="2" t="str">
        <f t="shared" si="101"/>
        <v/>
      </c>
    </row>
    <row r="136" spans="1:17" x14ac:dyDescent="0.25">
      <c r="A136" s="34"/>
      <c r="D136" s="2" t="str">
        <f t="shared" ref="D136:D167" ca="1" si="102">IF(B136="", "", IF(C136="", "En attente de date", IF((C136-TODAY())&lt;=0, "Urgent (J-0)", IF((C136-TODAY())&lt;=7, "Relance à J-7", IF(E136&gt;0, "Déjà relancé", "Dans les temps")))))</f>
        <v/>
      </c>
      <c r="H136" s="33">
        <f t="shared" ref="H136:H167" si="103">IF(C136="Cameroun", 75000, IF(OR(C136="Gabon", C136="Congo (RDC)", C136="Congo", C136="Tchad", C136="RCA", C136="Guinée Équatoriale"), 150000, IF(C136&lt;&gt;"", 200000, 250000)))</f>
        <v>250000</v>
      </c>
      <c r="J136" s="33">
        <f t="shared" ref="J136:J167" si="104">H136-I136</f>
        <v>250000</v>
      </c>
      <c r="L136" s="33">
        <f t="shared" ref="L136:L167" si="105">IF(G136="Cameroun", 75000, IF(OR(G136="Gabon", G136="Congo (RDC)", G136="Congo", G136="Tchad", G136="RCA", G136="Guinée Équatoriale"), 150000, IF(G136&lt;&gt;"", 200000, 250000)))</f>
        <v>250000</v>
      </c>
      <c r="N136" s="33">
        <f t="shared" ref="N136:N167" si="106">L136-M136</f>
        <v>250000</v>
      </c>
      <c r="Q136" s="2" t="str">
        <f t="shared" ref="Q136:Q167" si="107">IF(B136="","","https://wa.me/"&amp;SUBSTITUTE(SUBSTITUTE(SUBSTITUTE(B136,"+","")," ",""),"-","")&amp;"?text="&amp;SUBSTITUTE(P136," ","%20"))</f>
        <v/>
      </c>
    </row>
    <row r="137" spans="1:17" x14ac:dyDescent="0.25">
      <c r="A137" s="34"/>
      <c r="D137" s="2" t="str">
        <f t="shared" ca="1" si="102"/>
        <v/>
      </c>
      <c r="H137" s="33">
        <f t="shared" si="103"/>
        <v>250000</v>
      </c>
      <c r="J137" s="33">
        <f t="shared" si="104"/>
        <v>250000</v>
      </c>
      <c r="L137" s="33">
        <f t="shared" si="105"/>
        <v>250000</v>
      </c>
      <c r="N137" s="33">
        <f t="shared" si="106"/>
        <v>250000</v>
      </c>
      <c r="Q137" s="2" t="str">
        <f t="shared" si="107"/>
        <v/>
      </c>
    </row>
    <row r="138" spans="1:17" x14ac:dyDescent="0.25">
      <c r="A138" s="34"/>
      <c r="D138" s="2" t="str">
        <f t="shared" ca="1" si="102"/>
        <v/>
      </c>
      <c r="H138" s="33">
        <f t="shared" si="103"/>
        <v>250000</v>
      </c>
      <c r="J138" s="33">
        <f t="shared" si="104"/>
        <v>250000</v>
      </c>
      <c r="L138" s="33">
        <f t="shared" si="105"/>
        <v>250000</v>
      </c>
      <c r="N138" s="33">
        <f t="shared" si="106"/>
        <v>250000</v>
      </c>
      <c r="Q138" s="2" t="str">
        <f t="shared" si="107"/>
        <v/>
      </c>
    </row>
    <row r="139" spans="1:17" x14ac:dyDescent="0.25">
      <c r="A139" s="34"/>
      <c r="D139" s="2" t="str">
        <f t="shared" ca="1" si="102"/>
        <v/>
      </c>
      <c r="H139" s="33">
        <f t="shared" si="103"/>
        <v>250000</v>
      </c>
      <c r="J139" s="33">
        <f t="shared" si="104"/>
        <v>250000</v>
      </c>
      <c r="L139" s="33">
        <f t="shared" si="105"/>
        <v>250000</v>
      </c>
      <c r="N139" s="33">
        <f t="shared" si="106"/>
        <v>250000</v>
      </c>
      <c r="Q139" s="2" t="str">
        <f t="shared" si="107"/>
        <v/>
      </c>
    </row>
    <row r="140" spans="1:17" x14ac:dyDescent="0.25">
      <c r="A140" s="34"/>
      <c r="D140" s="2" t="str">
        <f t="shared" ca="1" si="102"/>
        <v/>
      </c>
      <c r="H140" s="33">
        <f t="shared" si="103"/>
        <v>250000</v>
      </c>
      <c r="J140" s="33">
        <f t="shared" si="104"/>
        <v>250000</v>
      </c>
      <c r="L140" s="33">
        <f t="shared" si="105"/>
        <v>250000</v>
      </c>
      <c r="N140" s="33">
        <f t="shared" si="106"/>
        <v>250000</v>
      </c>
      <c r="Q140" s="2" t="str">
        <f t="shared" si="107"/>
        <v/>
      </c>
    </row>
    <row r="141" spans="1:17" x14ac:dyDescent="0.25">
      <c r="A141" s="34"/>
      <c r="D141" s="2" t="str">
        <f t="shared" ca="1" si="102"/>
        <v/>
      </c>
      <c r="H141" s="33">
        <f t="shared" si="103"/>
        <v>250000</v>
      </c>
      <c r="J141" s="33">
        <f t="shared" si="104"/>
        <v>250000</v>
      </c>
      <c r="L141" s="33">
        <f t="shared" si="105"/>
        <v>250000</v>
      </c>
      <c r="N141" s="33">
        <f t="shared" si="106"/>
        <v>250000</v>
      </c>
      <c r="Q141" s="2" t="str">
        <f t="shared" si="107"/>
        <v/>
      </c>
    </row>
    <row r="142" spans="1:17" x14ac:dyDescent="0.25">
      <c r="A142" s="34"/>
      <c r="D142" s="2" t="str">
        <f t="shared" ca="1" si="102"/>
        <v/>
      </c>
      <c r="H142" s="33">
        <f t="shared" si="103"/>
        <v>250000</v>
      </c>
      <c r="J142" s="33">
        <f t="shared" si="104"/>
        <v>250000</v>
      </c>
      <c r="L142" s="33">
        <f t="shared" si="105"/>
        <v>250000</v>
      </c>
      <c r="N142" s="33">
        <f t="shared" si="106"/>
        <v>250000</v>
      </c>
      <c r="Q142" s="2" t="str">
        <f t="shared" si="107"/>
        <v/>
      </c>
    </row>
    <row r="143" spans="1:17" x14ac:dyDescent="0.25">
      <c r="A143" s="34"/>
      <c r="D143" s="2" t="str">
        <f t="shared" ca="1" si="102"/>
        <v/>
      </c>
      <c r="H143" s="33">
        <f t="shared" si="103"/>
        <v>250000</v>
      </c>
      <c r="J143" s="33">
        <f t="shared" si="104"/>
        <v>250000</v>
      </c>
      <c r="L143" s="33">
        <f t="shared" si="105"/>
        <v>250000</v>
      </c>
      <c r="N143" s="33">
        <f t="shared" si="106"/>
        <v>250000</v>
      </c>
      <c r="Q143" s="2" t="str">
        <f t="shared" si="107"/>
        <v/>
      </c>
    </row>
    <row r="144" spans="1:17" x14ac:dyDescent="0.25">
      <c r="A144" s="34"/>
      <c r="D144" s="2" t="str">
        <f t="shared" ca="1" si="102"/>
        <v/>
      </c>
      <c r="H144" s="33">
        <f t="shared" si="103"/>
        <v>250000</v>
      </c>
      <c r="J144" s="33">
        <f t="shared" si="104"/>
        <v>250000</v>
      </c>
      <c r="L144" s="33">
        <f t="shared" si="105"/>
        <v>250000</v>
      </c>
      <c r="N144" s="33">
        <f t="shared" si="106"/>
        <v>250000</v>
      </c>
      <c r="Q144" s="2" t="str">
        <f t="shared" si="107"/>
        <v/>
      </c>
    </row>
    <row r="145" spans="1:17" x14ac:dyDescent="0.25">
      <c r="A145" s="34"/>
      <c r="D145" s="2" t="str">
        <f t="shared" ca="1" si="102"/>
        <v/>
      </c>
      <c r="H145" s="33">
        <f t="shared" si="103"/>
        <v>250000</v>
      </c>
      <c r="J145" s="33">
        <f t="shared" si="104"/>
        <v>250000</v>
      </c>
      <c r="L145" s="33">
        <f t="shared" si="105"/>
        <v>250000</v>
      </c>
      <c r="N145" s="33">
        <f t="shared" si="106"/>
        <v>250000</v>
      </c>
      <c r="Q145" s="2" t="str">
        <f t="shared" si="107"/>
        <v/>
      </c>
    </row>
    <row r="146" spans="1:17" x14ac:dyDescent="0.25">
      <c r="A146" s="34"/>
      <c r="D146" s="2" t="str">
        <f t="shared" ca="1" si="102"/>
        <v/>
      </c>
      <c r="H146" s="33">
        <f t="shared" si="103"/>
        <v>250000</v>
      </c>
      <c r="J146" s="33">
        <f t="shared" si="104"/>
        <v>250000</v>
      </c>
      <c r="L146" s="33">
        <f t="shared" si="105"/>
        <v>250000</v>
      </c>
      <c r="N146" s="33">
        <f t="shared" si="106"/>
        <v>250000</v>
      </c>
      <c r="Q146" s="2" t="str">
        <f t="shared" si="107"/>
        <v/>
      </c>
    </row>
    <row r="147" spans="1:17" x14ac:dyDescent="0.25">
      <c r="A147" s="34"/>
      <c r="D147" s="2" t="str">
        <f t="shared" ca="1" si="102"/>
        <v/>
      </c>
      <c r="H147" s="33">
        <f t="shared" si="103"/>
        <v>250000</v>
      </c>
      <c r="J147" s="33">
        <f t="shared" si="104"/>
        <v>250000</v>
      </c>
      <c r="L147" s="33">
        <f t="shared" si="105"/>
        <v>250000</v>
      </c>
      <c r="N147" s="33">
        <f t="shared" si="106"/>
        <v>250000</v>
      </c>
      <c r="Q147" s="2" t="str">
        <f t="shared" si="107"/>
        <v/>
      </c>
    </row>
    <row r="148" spans="1:17" x14ac:dyDescent="0.25">
      <c r="A148" s="34"/>
      <c r="D148" s="2" t="str">
        <f t="shared" ca="1" si="102"/>
        <v/>
      </c>
      <c r="H148" s="33">
        <f t="shared" si="103"/>
        <v>250000</v>
      </c>
      <c r="J148" s="33">
        <f t="shared" si="104"/>
        <v>250000</v>
      </c>
      <c r="L148" s="33">
        <f t="shared" si="105"/>
        <v>250000</v>
      </c>
      <c r="N148" s="33">
        <f t="shared" si="106"/>
        <v>250000</v>
      </c>
      <c r="Q148" s="2" t="str">
        <f t="shared" si="107"/>
        <v/>
      </c>
    </row>
    <row r="149" spans="1:17" x14ac:dyDescent="0.25">
      <c r="A149" s="34"/>
      <c r="D149" s="2" t="str">
        <f t="shared" ca="1" si="102"/>
        <v/>
      </c>
      <c r="H149" s="33">
        <f t="shared" si="103"/>
        <v>250000</v>
      </c>
      <c r="J149" s="33">
        <f t="shared" si="104"/>
        <v>250000</v>
      </c>
      <c r="L149" s="33">
        <f t="shared" si="105"/>
        <v>250000</v>
      </c>
      <c r="N149" s="33">
        <f t="shared" si="106"/>
        <v>250000</v>
      </c>
      <c r="Q149" s="2" t="str">
        <f t="shared" si="107"/>
        <v/>
      </c>
    </row>
    <row r="150" spans="1:17" x14ac:dyDescent="0.25">
      <c r="A150" s="34"/>
      <c r="D150" s="2" t="str">
        <f t="shared" ca="1" si="102"/>
        <v/>
      </c>
      <c r="H150" s="33">
        <f t="shared" si="103"/>
        <v>250000</v>
      </c>
      <c r="J150" s="33">
        <f t="shared" si="104"/>
        <v>250000</v>
      </c>
      <c r="L150" s="33">
        <f t="shared" si="105"/>
        <v>250000</v>
      </c>
      <c r="N150" s="33">
        <f t="shared" si="106"/>
        <v>250000</v>
      </c>
      <c r="Q150" s="2" t="str">
        <f t="shared" si="107"/>
        <v/>
      </c>
    </row>
    <row r="151" spans="1:17" x14ac:dyDescent="0.25">
      <c r="A151" s="34"/>
      <c r="D151" s="2" t="str">
        <f t="shared" ca="1" si="102"/>
        <v/>
      </c>
      <c r="H151" s="33">
        <f t="shared" si="103"/>
        <v>250000</v>
      </c>
      <c r="J151" s="33">
        <f t="shared" si="104"/>
        <v>250000</v>
      </c>
      <c r="L151" s="33">
        <f t="shared" si="105"/>
        <v>250000</v>
      </c>
      <c r="N151" s="33">
        <f t="shared" si="106"/>
        <v>250000</v>
      </c>
      <c r="Q151" s="2" t="str">
        <f t="shared" si="107"/>
        <v/>
      </c>
    </row>
    <row r="152" spans="1:17" x14ac:dyDescent="0.25">
      <c r="A152" s="34"/>
      <c r="D152" s="2" t="str">
        <f t="shared" ca="1" si="102"/>
        <v/>
      </c>
      <c r="H152" s="33">
        <f t="shared" si="103"/>
        <v>250000</v>
      </c>
      <c r="J152" s="33">
        <f t="shared" si="104"/>
        <v>250000</v>
      </c>
      <c r="L152" s="33">
        <f t="shared" si="105"/>
        <v>250000</v>
      </c>
      <c r="N152" s="33">
        <f t="shared" si="106"/>
        <v>250000</v>
      </c>
      <c r="Q152" s="2" t="str">
        <f t="shared" si="107"/>
        <v/>
      </c>
    </row>
    <row r="153" spans="1:17" x14ac:dyDescent="0.25">
      <c r="A153" s="34"/>
      <c r="D153" s="2" t="str">
        <f t="shared" ca="1" si="102"/>
        <v/>
      </c>
      <c r="H153" s="33">
        <f t="shared" si="103"/>
        <v>250000</v>
      </c>
      <c r="J153" s="33">
        <f t="shared" si="104"/>
        <v>250000</v>
      </c>
      <c r="L153" s="33">
        <f t="shared" si="105"/>
        <v>250000</v>
      </c>
      <c r="N153" s="33">
        <f t="shared" si="106"/>
        <v>250000</v>
      </c>
      <c r="Q153" s="2" t="str">
        <f t="shared" si="107"/>
        <v/>
      </c>
    </row>
    <row r="154" spans="1:17" x14ac:dyDescent="0.25">
      <c r="A154" s="34"/>
      <c r="D154" s="2" t="str">
        <f t="shared" ca="1" si="102"/>
        <v/>
      </c>
      <c r="H154" s="33">
        <f t="shared" si="103"/>
        <v>250000</v>
      </c>
      <c r="J154" s="33">
        <f t="shared" si="104"/>
        <v>250000</v>
      </c>
      <c r="L154" s="33">
        <f t="shared" si="105"/>
        <v>250000</v>
      </c>
      <c r="N154" s="33">
        <f t="shared" si="106"/>
        <v>250000</v>
      </c>
      <c r="Q154" s="2" t="str">
        <f t="shared" si="107"/>
        <v/>
      </c>
    </row>
    <row r="155" spans="1:17" x14ac:dyDescent="0.25">
      <c r="A155" s="34"/>
      <c r="D155" s="2" t="str">
        <f t="shared" ca="1" si="102"/>
        <v/>
      </c>
      <c r="H155" s="33">
        <f t="shared" si="103"/>
        <v>250000</v>
      </c>
      <c r="J155" s="33">
        <f t="shared" si="104"/>
        <v>250000</v>
      </c>
      <c r="L155" s="33">
        <f t="shared" si="105"/>
        <v>250000</v>
      </c>
      <c r="N155" s="33">
        <f t="shared" si="106"/>
        <v>250000</v>
      </c>
      <c r="Q155" s="2" t="str">
        <f t="shared" si="107"/>
        <v/>
      </c>
    </row>
    <row r="156" spans="1:17" x14ac:dyDescent="0.25">
      <c r="A156" s="34"/>
      <c r="D156" s="2" t="str">
        <f t="shared" ca="1" si="102"/>
        <v/>
      </c>
      <c r="H156" s="33">
        <f t="shared" si="103"/>
        <v>250000</v>
      </c>
      <c r="J156" s="33">
        <f t="shared" si="104"/>
        <v>250000</v>
      </c>
      <c r="L156" s="33">
        <f t="shared" si="105"/>
        <v>250000</v>
      </c>
      <c r="N156" s="33">
        <f t="shared" si="106"/>
        <v>250000</v>
      </c>
      <c r="Q156" s="2" t="str">
        <f t="shared" si="107"/>
        <v/>
      </c>
    </row>
    <row r="157" spans="1:17" x14ac:dyDescent="0.25">
      <c r="A157" s="34"/>
      <c r="D157" s="2" t="str">
        <f t="shared" ca="1" si="102"/>
        <v/>
      </c>
      <c r="H157" s="33">
        <f t="shared" si="103"/>
        <v>250000</v>
      </c>
      <c r="J157" s="33">
        <f t="shared" si="104"/>
        <v>250000</v>
      </c>
      <c r="L157" s="33">
        <f t="shared" si="105"/>
        <v>250000</v>
      </c>
      <c r="N157" s="33">
        <f t="shared" si="106"/>
        <v>250000</v>
      </c>
      <c r="Q157" s="2" t="str">
        <f t="shared" si="107"/>
        <v/>
      </c>
    </row>
    <row r="158" spans="1:17" x14ac:dyDescent="0.25">
      <c r="A158" s="34"/>
      <c r="D158" s="2" t="str">
        <f t="shared" ca="1" si="102"/>
        <v/>
      </c>
      <c r="H158" s="33">
        <f t="shared" si="103"/>
        <v>250000</v>
      </c>
      <c r="J158" s="33">
        <f t="shared" si="104"/>
        <v>250000</v>
      </c>
      <c r="L158" s="33">
        <f t="shared" si="105"/>
        <v>250000</v>
      </c>
      <c r="N158" s="33">
        <f t="shared" si="106"/>
        <v>250000</v>
      </c>
      <c r="Q158" s="2" t="str">
        <f t="shared" si="107"/>
        <v/>
      </c>
    </row>
    <row r="159" spans="1:17" x14ac:dyDescent="0.25">
      <c r="A159" s="34"/>
      <c r="D159" s="2" t="str">
        <f t="shared" ca="1" si="102"/>
        <v/>
      </c>
      <c r="H159" s="33">
        <f t="shared" si="103"/>
        <v>250000</v>
      </c>
      <c r="J159" s="33">
        <f t="shared" si="104"/>
        <v>250000</v>
      </c>
      <c r="L159" s="33">
        <f t="shared" si="105"/>
        <v>250000</v>
      </c>
      <c r="N159" s="33">
        <f t="shared" si="106"/>
        <v>250000</v>
      </c>
      <c r="Q159" s="2" t="str">
        <f t="shared" si="107"/>
        <v/>
      </c>
    </row>
    <row r="160" spans="1:17" x14ac:dyDescent="0.25">
      <c r="A160" s="34"/>
      <c r="D160" s="2" t="str">
        <f t="shared" ca="1" si="102"/>
        <v/>
      </c>
      <c r="H160" s="33">
        <f t="shared" si="103"/>
        <v>250000</v>
      </c>
      <c r="J160" s="33">
        <f t="shared" si="104"/>
        <v>250000</v>
      </c>
      <c r="L160" s="33">
        <f t="shared" si="105"/>
        <v>250000</v>
      </c>
      <c r="N160" s="33">
        <f t="shared" si="106"/>
        <v>250000</v>
      </c>
      <c r="Q160" s="2" t="str">
        <f t="shared" si="107"/>
        <v/>
      </c>
    </row>
    <row r="161" spans="1:17" x14ac:dyDescent="0.25">
      <c r="A161" s="34"/>
      <c r="D161" s="2" t="str">
        <f t="shared" ca="1" si="102"/>
        <v/>
      </c>
      <c r="H161" s="33">
        <f t="shared" si="103"/>
        <v>250000</v>
      </c>
      <c r="J161" s="33">
        <f t="shared" si="104"/>
        <v>250000</v>
      </c>
      <c r="L161" s="33">
        <f t="shared" si="105"/>
        <v>250000</v>
      </c>
      <c r="N161" s="33">
        <f t="shared" si="106"/>
        <v>250000</v>
      </c>
      <c r="Q161" s="2" t="str">
        <f t="shared" si="107"/>
        <v/>
      </c>
    </row>
    <row r="162" spans="1:17" x14ac:dyDescent="0.25">
      <c r="A162" s="34"/>
      <c r="D162" s="2" t="str">
        <f t="shared" ca="1" si="102"/>
        <v/>
      </c>
      <c r="H162" s="33">
        <f t="shared" si="103"/>
        <v>250000</v>
      </c>
      <c r="J162" s="33">
        <f t="shared" si="104"/>
        <v>250000</v>
      </c>
      <c r="L162" s="33">
        <f t="shared" si="105"/>
        <v>250000</v>
      </c>
      <c r="N162" s="33">
        <f t="shared" si="106"/>
        <v>250000</v>
      </c>
      <c r="Q162" s="2" t="str">
        <f t="shared" si="107"/>
        <v/>
      </c>
    </row>
    <row r="163" spans="1:17" x14ac:dyDescent="0.25">
      <c r="A163" s="34"/>
      <c r="D163" s="2" t="str">
        <f t="shared" ca="1" si="102"/>
        <v/>
      </c>
      <c r="H163" s="33">
        <f t="shared" si="103"/>
        <v>250000</v>
      </c>
      <c r="J163" s="33">
        <f t="shared" si="104"/>
        <v>250000</v>
      </c>
      <c r="L163" s="33">
        <f t="shared" si="105"/>
        <v>250000</v>
      </c>
      <c r="N163" s="33">
        <f t="shared" si="106"/>
        <v>250000</v>
      </c>
      <c r="Q163" s="2" t="str">
        <f t="shared" si="107"/>
        <v/>
      </c>
    </row>
    <row r="164" spans="1:17" x14ac:dyDescent="0.25">
      <c r="A164" s="34"/>
      <c r="D164" s="2" t="str">
        <f t="shared" ca="1" si="102"/>
        <v/>
      </c>
      <c r="H164" s="33">
        <f t="shared" si="103"/>
        <v>250000</v>
      </c>
      <c r="J164" s="33">
        <f t="shared" si="104"/>
        <v>250000</v>
      </c>
      <c r="L164" s="33">
        <f t="shared" si="105"/>
        <v>250000</v>
      </c>
      <c r="N164" s="33">
        <f t="shared" si="106"/>
        <v>250000</v>
      </c>
      <c r="Q164" s="2" t="str">
        <f t="shared" si="107"/>
        <v/>
      </c>
    </row>
    <row r="165" spans="1:17" x14ac:dyDescent="0.25">
      <c r="A165" s="34"/>
      <c r="D165" s="2" t="str">
        <f t="shared" ca="1" si="102"/>
        <v/>
      </c>
      <c r="H165" s="33">
        <f t="shared" si="103"/>
        <v>250000</v>
      </c>
      <c r="J165" s="33">
        <f t="shared" si="104"/>
        <v>250000</v>
      </c>
      <c r="L165" s="33">
        <f t="shared" si="105"/>
        <v>250000</v>
      </c>
      <c r="N165" s="33">
        <f t="shared" si="106"/>
        <v>250000</v>
      </c>
      <c r="Q165" s="2" t="str">
        <f t="shared" si="107"/>
        <v/>
      </c>
    </row>
    <row r="166" spans="1:17" x14ac:dyDescent="0.25">
      <c r="A166" s="34"/>
      <c r="D166" s="2" t="str">
        <f t="shared" ca="1" si="102"/>
        <v/>
      </c>
      <c r="H166" s="33">
        <f t="shared" si="103"/>
        <v>250000</v>
      </c>
      <c r="J166" s="33">
        <f t="shared" si="104"/>
        <v>250000</v>
      </c>
      <c r="L166" s="33">
        <f t="shared" si="105"/>
        <v>250000</v>
      </c>
      <c r="N166" s="33">
        <f t="shared" si="106"/>
        <v>250000</v>
      </c>
      <c r="Q166" s="2" t="str">
        <f t="shared" si="107"/>
        <v/>
      </c>
    </row>
    <row r="167" spans="1:17" x14ac:dyDescent="0.25">
      <c r="A167" s="34"/>
      <c r="D167" s="2" t="str">
        <f t="shared" ca="1" si="102"/>
        <v/>
      </c>
      <c r="H167" s="33">
        <f t="shared" si="103"/>
        <v>250000</v>
      </c>
      <c r="J167" s="33">
        <f t="shared" si="104"/>
        <v>250000</v>
      </c>
      <c r="L167" s="33">
        <f t="shared" si="105"/>
        <v>250000</v>
      </c>
      <c r="N167" s="33">
        <f t="shared" si="106"/>
        <v>250000</v>
      </c>
      <c r="Q167" s="2" t="str">
        <f t="shared" si="107"/>
        <v/>
      </c>
    </row>
    <row r="168" spans="1:17" x14ac:dyDescent="0.25">
      <c r="A168" s="34"/>
      <c r="D168" s="2" t="str">
        <f t="shared" ref="D168:D199" ca="1" si="108">IF(B168="", "", IF(C168="", "En attente de date", IF((C168-TODAY())&lt;=0, "Urgent (J-0)", IF((C168-TODAY())&lt;=7, "Relance à J-7", IF(E168&gt;0, "Déjà relancé", "Dans les temps")))))</f>
        <v/>
      </c>
      <c r="H168" s="33">
        <f t="shared" ref="H168:H200" si="109">IF(C168="Cameroun", 75000, IF(OR(C168="Gabon", C168="Congo (RDC)", C168="Congo", C168="Tchad", C168="RCA", C168="Guinée Équatoriale"), 150000, IF(C168&lt;&gt;"", 200000, 250000)))</f>
        <v>250000</v>
      </c>
      <c r="J168" s="33">
        <f t="shared" ref="J168:J199" si="110">H168-I168</f>
        <v>250000</v>
      </c>
      <c r="L168" s="33">
        <f t="shared" ref="L168:L200" si="111">IF(G168="Cameroun", 75000, IF(OR(G168="Gabon", G168="Congo (RDC)", G168="Congo", G168="Tchad", G168="RCA", G168="Guinée Équatoriale"), 150000, IF(G168&lt;&gt;"", 200000, 250000)))</f>
        <v>250000</v>
      </c>
      <c r="N168" s="33">
        <f t="shared" ref="N168:N199" si="112">L168-M168</f>
        <v>250000</v>
      </c>
      <c r="Q168" s="2" t="str">
        <f t="shared" ref="Q168:Q199" si="113">IF(B168="","","https://wa.me/"&amp;SUBSTITUTE(SUBSTITUTE(SUBSTITUTE(B168,"+","")," ",""),"-","")&amp;"?text="&amp;SUBSTITUTE(P168," ","%20"))</f>
        <v/>
      </c>
    </row>
    <row r="169" spans="1:17" x14ac:dyDescent="0.25">
      <c r="A169" s="34"/>
      <c r="D169" s="2" t="str">
        <f t="shared" ca="1" si="108"/>
        <v/>
      </c>
      <c r="H169" s="33">
        <f t="shared" si="109"/>
        <v>250000</v>
      </c>
      <c r="J169" s="33">
        <f t="shared" si="110"/>
        <v>250000</v>
      </c>
      <c r="L169" s="33">
        <f t="shared" si="111"/>
        <v>250000</v>
      </c>
      <c r="N169" s="33">
        <f t="shared" si="112"/>
        <v>250000</v>
      </c>
      <c r="Q169" s="2" t="str">
        <f t="shared" si="113"/>
        <v/>
      </c>
    </row>
    <row r="170" spans="1:17" x14ac:dyDescent="0.25">
      <c r="A170" s="34"/>
      <c r="D170" s="2" t="str">
        <f t="shared" ca="1" si="108"/>
        <v/>
      </c>
      <c r="H170" s="33">
        <f t="shared" si="109"/>
        <v>250000</v>
      </c>
      <c r="J170" s="33">
        <f t="shared" si="110"/>
        <v>250000</v>
      </c>
      <c r="L170" s="33">
        <f t="shared" si="111"/>
        <v>250000</v>
      </c>
      <c r="N170" s="33">
        <f t="shared" si="112"/>
        <v>250000</v>
      </c>
      <c r="Q170" s="2" t="str">
        <f t="shared" si="113"/>
        <v/>
      </c>
    </row>
    <row r="171" spans="1:17" x14ac:dyDescent="0.25">
      <c r="A171" s="34"/>
      <c r="D171" s="2" t="str">
        <f t="shared" ca="1" si="108"/>
        <v/>
      </c>
      <c r="H171" s="33">
        <f t="shared" si="109"/>
        <v>250000</v>
      </c>
      <c r="J171" s="33">
        <f t="shared" si="110"/>
        <v>250000</v>
      </c>
      <c r="L171" s="33">
        <f t="shared" si="111"/>
        <v>250000</v>
      </c>
      <c r="N171" s="33">
        <f t="shared" si="112"/>
        <v>250000</v>
      </c>
      <c r="Q171" s="2" t="str">
        <f t="shared" si="113"/>
        <v/>
      </c>
    </row>
    <row r="172" spans="1:17" x14ac:dyDescent="0.25">
      <c r="A172" s="34"/>
      <c r="D172" s="2" t="str">
        <f t="shared" ca="1" si="108"/>
        <v/>
      </c>
      <c r="H172" s="33">
        <f t="shared" si="109"/>
        <v>250000</v>
      </c>
      <c r="J172" s="33">
        <f t="shared" si="110"/>
        <v>250000</v>
      </c>
      <c r="L172" s="33">
        <f t="shared" si="111"/>
        <v>250000</v>
      </c>
      <c r="N172" s="33">
        <f t="shared" si="112"/>
        <v>250000</v>
      </c>
      <c r="Q172" s="2" t="str">
        <f t="shared" si="113"/>
        <v/>
      </c>
    </row>
    <row r="173" spans="1:17" x14ac:dyDescent="0.25">
      <c r="A173" s="34"/>
      <c r="D173" s="2" t="str">
        <f t="shared" ca="1" si="108"/>
        <v/>
      </c>
      <c r="H173" s="33">
        <f t="shared" si="109"/>
        <v>250000</v>
      </c>
      <c r="J173" s="33">
        <f t="shared" si="110"/>
        <v>250000</v>
      </c>
      <c r="L173" s="33">
        <f t="shared" si="111"/>
        <v>250000</v>
      </c>
      <c r="N173" s="33">
        <f t="shared" si="112"/>
        <v>250000</v>
      </c>
      <c r="Q173" s="2" t="str">
        <f t="shared" si="113"/>
        <v/>
      </c>
    </row>
    <row r="174" spans="1:17" x14ac:dyDescent="0.25">
      <c r="A174" s="34"/>
      <c r="D174" s="2" t="str">
        <f t="shared" ca="1" si="108"/>
        <v/>
      </c>
      <c r="H174" s="33">
        <f t="shared" si="109"/>
        <v>250000</v>
      </c>
      <c r="J174" s="33">
        <f t="shared" si="110"/>
        <v>250000</v>
      </c>
      <c r="L174" s="33">
        <f t="shared" si="111"/>
        <v>250000</v>
      </c>
      <c r="N174" s="33">
        <f t="shared" si="112"/>
        <v>250000</v>
      </c>
      <c r="Q174" s="2" t="str">
        <f t="shared" si="113"/>
        <v/>
      </c>
    </row>
    <row r="175" spans="1:17" x14ac:dyDescent="0.25">
      <c r="A175" s="34"/>
      <c r="D175" s="2" t="str">
        <f t="shared" ca="1" si="108"/>
        <v/>
      </c>
      <c r="H175" s="33">
        <f t="shared" si="109"/>
        <v>250000</v>
      </c>
      <c r="J175" s="33">
        <f t="shared" si="110"/>
        <v>250000</v>
      </c>
      <c r="L175" s="33">
        <f t="shared" si="111"/>
        <v>250000</v>
      </c>
      <c r="N175" s="33">
        <f t="shared" si="112"/>
        <v>250000</v>
      </c>
      <c r="Q175" s="2" t="str">
        <f t="shared" si="113"/>
        <v/>
      </c>
    </row>
    <row r="176" spans="1:17" x14ac:dyDescent="0.25">
      <c r="A176" s="34"/>
      <c r="D176" s="2" t="str">
        <f t="shared" ca="1" si="108"/>
        <v/>
      </c>
      <c r="H176" s="33">
        <f t="shared" si="109"/>
        <v>250000</v>
      </c>
      <c r="J176" s="33">
        <f t="shared" si="110"/>
        <v>250000</v>
      </c>
      <c r="L176" s="33">
        <f t="shared" si="111"/>
        <v>250000</v>
      </c>
      <c r="N176" s="33">
        <f t="shared" si="112"/>
        <v>250000</v>
      </c>
      <c r="Q176" s="2" t="str">
        <f t="shared" si="113"/>
        <v/>
      </c>
    </row>
    <row r="177" spans="1:17" x14ac:dyDescent="0.25">
      <c r="A177" s="34"/>
      <c r="D177" s="2" t="str">
        <f t="shared" ca="1" si="108"/>
        <v/>
      </c>
      <c r="H177" s="33">
        <f t="shared" si="109"/>
        <v>250000</v>
      </c>
      <c r="J177" s="33">
        <f t="shared" si="110"/>
        <v>250000</v>
      </c>
      <c r="L177" s="33">
        <f t="shared" si="111"/>
        <v>250000</v>
      </c>
      <c r="N177" s="33">
        <f t="shared" si="112"/>
        <v>250000</v>
      </c>
      <c r="Q177" s="2" t="str">
        <f t="shared" si="113"/>
        <v/>
      </c>
    </row>
    <row r="178" spans="1:17" x14ac:dyDescent="0.25">
      <c r="A178" s="34"/>
      <c r="D178" s="2" t="str">
        <f t="shared" ca="1" si="108"/>
        <v/>
      </c>
      <c r="H178" s="33">
        <f t="shared" si="109"/>
        <v>250000</v>
      </c>
      <c r="J178" s="33">
        <f t="shared" si="110"/>
        <v>250000</v>
      </c>
      <c r="L178" s="33">
        <f t="shared" si="111"/>
        <v>250000</v>
      </c>
      <c r="N178" s="33">
        <f t="shared" si="112"/>
        <v>250000</v>
      </c>
      <c r="Q178" s="2" t="str">
        <f t="shared" si="113"/>
        <v/>
      </c>
    </row>
    <row r="179" spans="1:17" x14ac:dyDescent="0.25">
      <c r="A179" s="34"/>
      <c r="D179" s="2" t="str">
        <f t="shared" ca="1" si="108"/>
        <v/>
      </c>
      <c r="H179" s="33">
        <f t="shared" si="109"/>
        <v>250000</v>
      </c>
      <c r="J179" s="33">
        <f t="shared" si="110"/>
        <v>250000</v>
      </c>
      <c r="L179" s="33">
        <f t="shared" si="111"/>
        <v>250000</v>
      </c>
      <c r="N179" s="33">
        <f t="shared" si="112"/>
        <v>250000</v>
      </c>
      <c r="Q179" s="2" t="str">
        <f t="shared" si="113"/>
        <v/>
      </c>
    </row>
    <row r="180" spans="1:17" x14ac:dyDescent="0.25">
      <c r="A180" s="34"/>
      <c r="D180" s="2" t="str">
        <f t="shared" ca="1" si="108"/>
        <v/>
      </c>
      <c r="H180" s="33">
        <f t="shared" si="109"/>
        <v>250000</v>
      </c>
      <c r="J180" s="33">
        <f t="shared" si="110"/>
        <v>250000</v>
      </c>
      <c r="L180" s="33">
        <f t="shared" si="111"/>
        <v>250000</v>
      </c>
      <c r="N180" s="33">
        <f t="shared" si="112"/>
        <v>250000</v>
      </c>
      <c r="Q180" s="2" t="str">
        <f t="shared" si="113"/>
        <v/>
      </c>
    </row>
    <row r="181" spans="1:17" x14ac:dyDescent="0.25">
      <c r="A181" s="34"/>
      <c r="D181" s="2" t="str">
        <f t="shared" ca="1" si="108"/>
        <v/>
      </c>
      <c r="H181" s="33">
        <f t="shared" si="109"/>
        <v>250000</v>
      </c>
      <c r="J181" s="33">
        <f t="shared" si="110"/>
        <v>250000</v>
      </c>
      <c r="L181" s="33">
        <f t="shared" si="111"/>
        <v>250000</v>
      </c>
      <c r="N181" s="33">
        <f t="shared" si="112"/>
        <v>250000</v>
      </c>
      <c r="Q181" s="2" t="str">
        <f t="shared" si="113"/>
        <v/>
      </c>
    </row>
    <row r="182" spans="1:17" x14ac:dyDescent="0.25">
      <c r="A182" s="34"/>
      <c r="D182" s="2" t="str">
        <f t="shared" ca="1" si="108"/>
        <v/>
      </c>
      <c r="H182" s="33">
        <f t="shared" si="109"/>
        <v>250000</v>
      </c>
      <c r="J182" s="33">
        <f t="shared" si="110"/>
        <v>250000</v>
      </c>
      <c r="L182" s="33">
        <f t="shared" si="111"/>
        <v>250000</v>
      </c>
      <c r="N182" s="33">
        <f t="shared" si="112"/>
        <v>250000</v>
      </c>
      <c r="Q182" s="2" t="str">
        <f t="shared" si="113"/>
        <v/>
      </c>
    </row>
    <row r="183" spans="1:17" x14ac:dyDescent="0.25">
      <c r="A183" s="34"/>
      <c r="D183" s="2" t="str">
        <f t="shared" ca="1" si="108"/>
        <v/>
      </c>
      <c r="H183" s="33">
        <f t="shared" si="109"/>
        <v>250000</v>
      </c>
      <c r="J183" s="33">
        <f t="shared" si="110"/>
        <v>250000</v>
      </c>
      <c r="L183" s="33">
        <f t="shared" si="111"/>
        <v>250000</v>
      </c>
      <c r="N183" s="33">
        <f t="shared" si="112"/>
        <v>250000</v>
      </c>
      <c r="Q183" s="2" t="str">
        <f t="shared" si="113"/>
        <v/>
      </c>
    </row>
    <row r="184" spans="1:17" x14ac:dyDescent="0.25">
      <c r="A184" s="34"/>
      <c r="D184" s="2" t="str">
        <f t="shared" ca="1" si="108"/>
        <v/>
      </c>
      <c r="H184" s="33">
        <f t="shared" si="109"/>
        <v>250000</v>
      </c>
      <c r="J184" s="33">
        <f t="shared" si="110"/>
        <v>250000</v>
      </c>
      <c r="L184" s="33">
        <f t="shared" si="111"/>
        <v>250000</v>
      </c>
      <c r="N184" s="33">
        <f t="shared" si="112"/>
        <v>250000</v>
      </c>
      <c r="Q184" s="2" t="str">
        <f t="shared" si="113"/>
        <v/>
      </c>
    </row>
    <row r="185" spans="1:17" x14ac:dyDescent="0.25">
      <c r="A185" s="34"/>
      <c r="D185" s="2" t="str">
        <f t="shared" ca="1" si="108"/>
        <v/>
      </c>
      <c r="H185" s="33">
        <f t="shared" si="109"/>
        <v>250000</v>
      </c>
      <c r="J185" s="33">
        <f t="shared" si="110"/>
        <v>250000</v>
      </c>
      <c r="L185" s="33">
        <f t="shared" si="111"/>
        <v>250000</v>
      </c>
      <c r="N185" s="33">
        <f t="shared" si="112"/>
        <v>250000</v>
      </c>
      <c r="Q185" s="2" t="str">
        <f t="shared" si="113"/>
        <v/>
      </c>
    </row>
    <row r="186" spans="1:17" x14ac:dyDescent="0.25">
      <c r="A186" s="34"/>
      <c r="D186" s="2" t="str">
        <f t="shared" ca="1" si="108"/>
        <v/>
      </c>
      <c r="H186" s="33">
        <f t="shared" si="109"/>
        <v>250000</v>
      </c>
      <c r="J186" s="33">
        <f t="shared" si="110"/>
        <v>250000</v>
      </c>
      <c r="L186" s="33">
        <f t="shared" si="111"/>
        <v>250000</v>
      </c>
      <c r="N186" s="33">
        <f t="shared" si="112"/>
        <v>250000</v>
      </c>
      <c r="Q186" s="2" t="str">
        <f t="shared" si="113"/>
        <v/>
      </c>
    </row>
    <row r="187" spans="1:17" x14ac:dyDescent="0.25">
      <c r="A187" s="34"/>
      <c r="D187" s="2" t="str">
        <f t="shared" ca="1" si="108"/>
        <v/>
      </c>
      <c r="H187" s="33">
        <f t="shared" si="109"/>
        <v>250000</v>
      </c>
      <c r="J187" s="33">
        <f t="shared" si="110"/>
        <v>250000</v>
      </c>
      <c r="L187" s="33">
        <f t="shared" si="111"/>
        <v>250000</v>
      </c>
      <c r="N187" s="33">
        <f t="shared" si="112"/>
        <v>250000</v>
      </c>
      <c r="Q187" s="2" t="str">
        <f t="shared" si="113"/>
        <v/>
      </c>
    </row>
    <row r="188" spans="1:17" x14ac:dyDescent="0.25">
      <c r="A188" s="34"/>
      <c r="D188" s="2" t="str">
        <f t="shared" ca="1" si="108"/>
        <v/>
      </c>
      <c r="H188" s="33">
        <f t="shared" si="109"/>
        <v>250000</v>
      </c>
      <c r="J188" s="33">
        <f t="shared" si="110"/>
        <v>250000</v>
      </c>
      <c r="L188" s="33">
        <f t="shared" si="111"/>
        <v>250000</v>
      </c>
      <c r="N188" s="33">
        <f t="shared" si="112"/>
        <v>250000</v>
      </c>
      <c r="Q188" s="2" t="str">
        <f t="shared" si="113"/>
        <v/>
      </c>
    </row>
    <row r="189" spans="1:17" x14ac:dyDescent="0.25">
      <c r="A189" s="34"/>
      <c r="D189" s="2" t="str">
        <f t="shared" ca="1" si="108"/>
        <v/>
      </c>
      <c r="H189" s="33">
        <f t="shared" si="109"/>
        <v>250000</v>
      </c>
      <c r="J189" s="33">
        <f t="shared" si="110"/>
        <v>250000</v>
      </c>
      <c r="L189" s="33">
        <f t="shared" si="111"/>
        <v>250000</v>
      </c>
      <c r="N189" s="33">
        <f t="shared" si="112"/>
        <v>250000</v>
      </c>
      <c r="Q189" s="2" t="str">
        <f t="shared" si="113"/>
        <v/>
      </c>
    </row>
    <row r="190" spans="1:17" x14ac:dyDescent="0.25">
      <c r="A190" s="34"/>
      <c r="D190" s="2" t="str">
        <f t="shared" ca="1" si="108"/>
        <v/>
      </c>
      <c r="H190" s="33">
        <f t="shared" si="109"/>
        <v>250000</v>
      </c>
      <c r="J190" s="33">
        <f t="shared" si="110"/>
        <v>250000</v>
      </c>
      <c r="L190" s="33">
        <f t="shared" si="111"/>
        <v>250000</v>
      </c>
      <c r="N190" s="33">
        <f t="shared" si="112"/>
        <v>250000</v>
      </c>
      <c r="Q190" s="2" t="str">
        <f t="shared" si="113"/>
        <v/>
      </c>
    </row>
    <row r="191" spans="1:17" x14ac:dyDescent="0.25">
      <c r="A191" s="34"/>
      <c r="D191" s="2" t="str">
        <f t="shared" ca="1" si="108"/>
        <v/>
      </c>
      <c r="H191" s="33">
        <f t="shared" si="109"/>
        <v>250000</v>
      </c>
      <c r="J191" s="33">
        <f t="shared" si="110"/>
        <v>250000</v>
      </c>
      <c r="L191" s="33">
        <f t="shared" si="111"/>
        <v>250000</v>
      </c>
      <c r="N191" s="33">
        <f t="shared" si="112"/>
        <v>250000</v>
      </c>
      <c r="Q191" s="2" t="str">
        <f t="shared" si="113"/>
        <v/>
      </c>
    </row>
    <row r="192" spans="1:17" x14ac:dyDescent="0.25">
      <c r="A192" s="34"/>
      <c r="D192" s="2" t="str">
        <f t="shared" ca="1" si="108"/>
        <v/>
      </c>
      <c r="H192" s="33">
        <f t="shared" si="109"/>
        <v>250000</v>
      </c>
      <c r="J192" s="33">
        <f t="shared" si="110"/>
        <v>250000</v>
      </c>
      <c r="L192" s="33">
        <f t="shared" si="111"/>
        <v>250000</v>
      </c>
      <c r="N192" s="33">
        <f t="shared" si="112"/>
        <v>250000</v>
      </c>
      <c r="Q192" s="2" t="str">
        <f t="shared" si="113"/>
        <v/>
      </c>
    </row>
    <row r="193" spans="1:17" x14ac:dyDescent="0.25">
      <c r="A193" s="34"/>
      <c r="D193" s="2" t="str">
        <f t="shared" ca="1" si="108"/>
        <v/>
      </c>
      <c r="H193" s="33">
        <f t="shared" si="109"/>
        <v>250000</v>
      </c>
      <c r="J193" s="33">
        <f t="shared" si="110"/>
        <v>250000</v>
      </c>
      <c r="L193" s="33">
        <f t="shared" si="111"/>
        <v>250000</v>
      </c>
      <c r="N193" s="33">
        <f t="shared" si="112"/>
        <v>250000</v>
      </c>
      <c r="Q193" s="2" t="str">
        <f t="shared" si="113"/>
        <v/>
      </c>
    </row>
    <row r="194" spans="1:17" x14ac:dyDescent="0.25">
      <c r="A194" s="34"/>
      <c r="D194" s="2" t="str">
        <f t="shared" ca="1" si="108"/>
        <v/>
      </c>
      <c r="H194" s="33">
        <f t="shared" si="109"/>
        <v>250000</v>
      </c>
      <c r="J194" s="33">
        <f t="shared" si="110"/>
        <v>250000</v>
      </c>
      <c r="L194" s="33">
        <f t="shared" si="111"/>
        <v>250000</v>
      </c>
      <c r="N194" s="33">
        <f t="shared" si="112"/>
        <v>250000</v>
      </c>
      <c r="Q194" s="2" t="str">
        <f t="shared" si="113"/>
        <v/>
      </c>
    </row>
    <row r="195" spans="1:17" x14ac:dyDescent="0.25">
      <c r="A195" s="34"/>
      <c r="D195" s="2" t="str">
        <f t="shared" ca="1" si="108"/>
        <v/>
      </c>
      <c r="H195" s="33">
        <f t="shared" si="109"/>
        <v>250000</v>
      </c>
      <c r="J195" s="33">
        <f t="shared" si="110"/>
        <v>250000</v>
      </c>
      <c r="L195" s="33">
        <f t="shared" si="111"/>
        <v>250000</v>
      </c>
      <c r="N195" s="33">
        <f t="shared" si="112"/>
        <v>250000</v>
      </c>
      <c r="Q195" s="2" t="str">
        <f t="shared" si="113"/>
        <v/>
      </c>
    </row>
    <row r="196" spans="1:17" x14ac:dyDescent="0.25">
      <c r="A196" s="34"/>
      <c r="D196" s="2" t="str">
        <f t="shared" ca="1" si="108"/>
        <v/>
      </c>
      <c r="H196" s="33">
        <f t="shared" si="109"/>
        <v>250000</v>
      </c>
      <c r="J196" s="33">
        <f t="shared" si="110"/>
        <v>250000</v>
      </c>
      <c r="L196" s="33">
        <f t="shared" si="111"/>
        <v>250000</v>
      </c>
      <c r="N196" s="33">
        <f t="shared" si="112"/>
        <v>250000</v>
      </c>
      <c r="Q196" s="2" t="str">
        <f t="shared" si="113"/>
        <v/>
      </c>
    </row>
    <row r="197" spans="1:17" x14ac:dyDescent="0.25">
      <c r="A197" s="34"/>
      <c r="D197" s="2" t="str">
        <f t="shared" ca="1" si="108"/>
        <v/>
      </c>
      <c r="H197" s="33">
        <f t="shared" si="109"/>
        <v>250000</v>
      </c>
      <c r="J197" s="33">
        <f t="shared" si="110"/>
        <v>250000</v>
      </c>
      <c r="L197" s="33">
        <f t="shared" si="111"/>
        <v>250000</v>
      </c>
      <c r="N197" s="33">
        <f t="shared" si="112"/>
        <v>250000</v>
      </c>
      <c r="Q197" s="2" t="str">
        <f t="shared" si="113"/>
        <v/>
      </c>
    </row>
    <row r="198" spans="1:17" x14ac:dyDescent="0.25">
      <c r="A198" s="34"/>
      <c r="D198" s="2" t="str">
        <f t="shared" ca="1" si="108"/>
        <v/>
      </c>
      <c r="H198" s="33">
        <f t="shared" si="109"/>
        <v>250000</v>
      </c>
      <c r="J198" s="33">
        <f t="shared" si="110"/>
        <v>250000</v>
      </c>
      <c r="L198" s="33">
        <f t="shared" si="111"/>
        <v>250000</v>
      </c>
      <c r="N198" s="33">
        <f t="shared" si="112"/>
        <v>250000</v>
      </c>
      <c r="Q198" s="2" t="str">
        <f t="shared" si="113"/>
        <v/>
      </c>
    </row>
    <row r="199" spans="1:17" x14ac:dyDescent="0.25">
      <c r="A199" s="34"/>
      <c r="D199" s="2" t="str">
        <f t="shared" ca="1" si="108"/>
        <v/>
      </c>
      <c r="H199" s="33">
        <f t="shared" si="109"/>
        <v>250000</v>
      </c>
      <c r="J199" s="33">
        <f t="shared" si="110"/>
        <v>250000</v>
      </c>
      <c r="L199" s="33">
        <f t="shared" si="111"/>
        <v>250000</v>
      </c>
      <c r="N199" s="33">
        <f t="shared" si="112"/>
        <v>250000</v>
      </c>
      <c r="Q199" s="2" t="str">
        <f t="shared" si="113"/>
        <v/>
      </c>
    </row>
    <row r="200" spans="1:17" x14ac:dyDescent="0.25">
      <c r="A200" s="34"/>
      <c r="D200" s="2" t="str">
        <f t="shared" ref="D200" ca="1" si="114">IF(B200="", "", IF(C200="", "En attente de date", IF((C200-TODAY())&lt;=0, "Urgent (J-0)", IF((C200-TODAY())&lt;=7, "Relance à J-7", IF(E200&gt;0, "Déjà relancé", "Dans les temps")))))</f>
        <v/>
      </c>
      <c r="H200" s="33">
        <f t="shared" si="109"/>
        <v>250000</v>
      </c>
      <c r="J200" s="33">
        <f t="shared" ref="J200" si="115">H200-I200</f>
        <v>250000</v>
      </c>
      <c r="L200" s="33">
        <f t="shared" si="111"/>
        <v>250000</v>
      </c>
      <c r="N200" s="33">
        <f t="shared" ref="N200" si="116">L200-M200</f>
        <v>250000</v>
      </c>
      <c r="Q200" s="2" t="str">
        <f t="shared" ref="Q200" si="117">IF(B200="","","https://wa.me/"&amp;SUBSTITUTE(SUBSTITUTE(SUBSTITUTE(B200,"+","")," ",""),"-","")&amp;"?text="&amp;SUBSTITUTE(P200," ","%20"))</f>
        <v/>
      </c>
    </row>
  </sheetData>
  <mergeCells count="11">
    <mergeCell ref="A4:B4"/>
    <mergeCell ref="G4:H4"/>
    <mergeCell ref="E4:F4"/>
    <mergeCell ref="I4:M4"/>
    <mergeCell ref="A2:M2"/>
    <mergeCell ref="C4:D4"/>
    <mergeCell ref="C5:D5"/>
    <mergeCell ref="A5:B5"/>
    <mergeCell ref="G5:H5"/>
    <mergeCell ref="E5:F5"/>
    <mergeCell ref="I5:M5"/>
  </mergeCells>
  <phoneticPr fontId="10" type="noConversion"/>
  <dataValidations count="6">
    <dataValidation type="list" allowBlank="1" sqref="E9:E50" xr:uid="{00000000-0002-0000-0200-000000000000}">
      <formula1>"0% - Non débuté, 25% - En rédaction, 50% - Relecture, 75% - En révision, 100% - Terminé"</formula1>
    </dataValidation>
    <dataValidation type="list" allowBlank="1" sqref="O8:O29 K8:K50" xr:uid="{00000000-0002-0000-0200-000001000000}">
      <formula1>"Oui, Non, En cours"</formula1>
    </dataValidation>
    <dataValidation type="whole" operator="greaterThanOrEqual" allowBlank="1" showInputMessage="1" showErrorMessage="1" errorTitle="Nombre invalide" error="Vous ne pouvez pas entrer un nombre négatif!" sqref="A8:A50" xr:uid="{00000000-0002-0000-0200-000002000000}">
      <formula1>0</formula1>
    </dataValidation>
    <dataValidation type="date" operator="lessThanOrEqual" allowBlank="1" showInputMessage="1" showErrorMessage="1" errorTitle="Date Invalide" error="Vous ne pouvez pas entrer une date future pour une relance déjà effectuée." sqref="B8:B50" xr:uid="{00000000-0002-0000-0200-000003000000}">
      <formula1>TODAY()</formula1>
    </dataValidation>
    <dataValidation type="custom" allowBlank="1" showInputMessage="1" showErrorMessage="1" error="Veuillez saisir un montant multiple de 5000 FCFA" sqref="I8:I50" xr:uid="{00000000-0002-0000-0200-000004000000}">
      <formula1>MOD(I8,5000)=0</formula1>
    </dataValidation>
    <dataValidation type="list" allowBlank="1" sqref="E8" xr:uid="{00000000-0002-0000-0200-000005000000}">
      <formula1>"0% - Non débuté, 25% - En rédaction, 50% - Relecture / Évaluation, 75% - En révision / Corrections, 100% - Publié / Validé"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200-000006000000}">
          <x14:formula1>
            <xm:f>Parametres!$A$2:$A$55</xm:f>
          </x14:formula1>
          <xm:sqref>C8:C50</xm:sqref>
        </x14:dataValidation>
        <x14:dataValidation type="list" allowBlank="1" showInputMessage="1" showErrorMessage="1" xr:uid="{00000000-0002-0000-0200-000007000000}">
          <x14:formula1>
            <xm:f>'Tâches restantes'!$A$2:$A$6</xm:f>
          </x14:formula1>
          <xm:sqref>G8:G200</xm:sqref>
        </x14:dataValidation>
        <x14:dataValidation type="list" allowBlank="1" showInputMessage="1" showErrorMessage="1" xr:uid="{00000000-0002-0000-0200-000008000000}">
          <x14:formula1>
            <xm:f>'Tâches déjà effectuées'!$A$2:$A$13</xm:f>
          </x14:formula1>
          <xm:sqref>F7:F200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S199"/>
  <sheetViews>
    <sheetView zoomScaleNormal="100" workbookViewId="0">
      <selection activeCell="A5" sqref="A5:B5"/>
    </sheetView>
  </sheetViews>
  <sheetFormatPr baseColWidth="10" defaultColWidth="9.140625" defaultRowHeight="15" x14ac:dyDescent="0.25"/>
  <cols>
    <col min="1" max="1" width="25" style="35" customWidth="1"/>
    <col min="2" max="4" width="21" style="35" customWidth="1"/>
    <col min="5" max="5" width="21" style="57" customWidth="1"/>
    <col min="6" max="7" width="21" style="35" customWidth="1"/>
    <col min="8" max="8" width="20" style="35" customWidth="1"/>
    <col min="9" max="10" width="35" style="35" customWidth="1"/>
    <col min="11" max="11" width="22" style="35" customWidth="1"/>
    <col min="12" max="13" width="30" style="35" customWidth="1"/>
    <col min="14" max="14" width="18.5703125" style="35" customWidth="1"/>
    <col min="15" max="15" width="18" style="35" customWidth="1"/>
    <col min="16" max="17" width="40" style="35" customWidth="1"/>
    <col min="18" max="18" width="42" style="35" customWidth="1"/>
    <col min="19" max="19" width="22" style="35" customWidth="1"/>
    <col min="20" max="21" width="9.140625" style="35"/>
    <col min="22" max="22" width="9.5703125" style="35" bestFit="1" customWidth="1"/>
    <col min="23" max="16384" width="9.140625" style="35"/>
  </cols>
  <sheetData>
    <row r="1" spans="1:19" ht="35.1" customHeight="1" x14ac:dyDescent="0.25">
      <c r="A1" s="62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</row>
    <row r="2" spans="1:19" ht="20.100000000000001" customHeight="1" x14ac:dyDescent="0.25">
      <c r="A2" s="64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</row>
    <row r="4" spans="1:19" ht="15.95" customHeight="1" x14ac:dyDescent="0.25">
      <c r="A4" s="65" t="s">
        <v>57</v>
      </c>
      <c r="B4" s="66"/>
      <c r="C4" s="36"/>
      <c r="D4" s="36"/>
      <c r="E4" s="37"/>
      <c r="F4" s="36"/>
      <c r="G4" s="36"/>
      <c r="H4" s="65" t="s">
        <v>58</v>
      </c>
      <c r="I4" s="66"/>
      <c r="J4" s="36"/>
      <c r="K4" s="65" t="s">
        <v>59</v>
      </c>
      <c r="L4" s="66"/>
      <c r="M4" s="65" t="s">
        <v>60</v>
      </c>
      <c r="N4" s="66"/>
      <c r="O4" s="65" t="s">
        <v>61</v>
      </c>
      <c r="P4" s="66"/>
      <c r="Q4" s="66"/>
      <c r="R4" s="66"/>
      <c r="S4" s="66"/>
    </row>
    <row r="5" spans="1:19" ht="27.95" customHeight="1" x14ac:dyDescent="0.25">
      <c r="A5" s="67">
        <f>COUNTA(A8:A202)</f>
        <v>21</v>
      </c>
      <c r="B5" s="66"/>
      <c r="C5" s="36"/>
      <c r="D5" s="36"/>
      <c r="E5" s="37"/>
      <c r="F5" s="36"/>
      <c r="G5" s="36"/>
      <c r="H5" s="68">
        <f>SUM(N8:N202)</f>
        <v>45850000</v>
      </c>
      <c r="I5" s="66"/>
      <c r="J5" s="36"/>
      <c r="K5" s="68">
        <f>SUM(O8:O202)</f>
        <v>0</v>
      </c>
      <c r="L5" s="66"/>
      <c r="M5" s="68">
        <f>H5-K5</f>
        <v>45850000</v>
      </c>
      <c r="N5" s="66"/>
      <c r="O5" s="69">
        <f>IF(H5&gt;0, K5/H5, 0)</f>
        <v>0</v>
      </c>
      <c r="P5" s="66"/>
      <c r="Q5" s="66"/>
      <c r="R5" s="66"/>
      <c r="S5" s="66"/>
    </row>
    <row r="7" spans="1:19" ht="27.95" customHeight="1" x14ac:dyDescent="0.25">
      <c r="A7" s="38" t="s">
        <v>62</v>
      </c>
      <c r="B7" s="39" t="s">
        <v>63</v>
      </c>
      <c r="C7" s="39" t="s">
        <v>130</v>
      </c>
      <c r="D7" s="39" t="s">
        <v>131</v>
      </c>
      <c r="E7" s="40" t="s">
        <v>132</v>
      </c>
      <c r="F7" s="39" t="s">
        <v>133</v>
      </c>
      <c r="G7" s="39" t="s">
        <v>64</v>
      </c>
      <c r="H7" s="39" t="s">
        <v>65</v>
      </c>
      <c r="I7" s="39" t="s">
        <v>66</v>
      </c>
      <c r="J7" s="39" t="s">
        <v>67</v>
      </c>
      <c r="K7" s="39" t="s">
        <v>68</v>
      </c>
      <c r="L7" s="39" t="s">
        <v>69</v>
      </c>
      <c r="M7" s="39" t="s">
        <v>70</v>
      </c>
      <c r="N7" s="39" t="s">
        <v>71</v>
      </c>
      <c r="O7" s="39" t="s">
        <v>72</v>
      </c>
      <c r="P7" s="39" t="s">
        <v>73</v>
      </c>
      <c r="Q7" s="41" t="s">
        <v>74</v>
      </c>
    </row>
    <row r="8" spans="1:19" ht="27.95" customHeight="1" x14ac:dyDescent="0.25">
      <c r="A8" s="42" t="s">
        <v>81</v>
      </c>
      <c r="B8" s="43" t="s">
        <v>85</v>
      </c>
      <c r="C8" s="43" t="s">
        <v>137</v>
      </c>
      <c r="D8" s="5" t="str">
        <f ca="1">IF(B8="", "", IF(C8="", "En attente de date", IF(E8&gt;0, "Déjà relancé", IF((C8-TODAY())&lt;=0, "Urgent (J-0)", IF((C8-TODAY())&lt;=7, "Relance à J-7", "Dans les temps")))))</f>
        <v>Déjà relancé</v>
      </c>
      <c r="E8" s="45">
        <v>1</v>
      </c>
      <c r="F8" s="46">
        <v>46259</v>
      </c>
      <c r="G8" s="44" t="s">
        <v>12</v>
      </c>
      <c r="H8" s="47"/>
      <c r="I8" s="44" t="s">
        <v>80</v>
      </c>
      <c r="J8" s="47" t="s">
        <v>121</v>
      </c>
      <c r="K8" s="47" t="s">
        <v>129</v>
      </c>
      <c r="L8" s="6">
        <f t="shared" ref="L8:L40" si="0">IF(G8="Cameroun", 75000, IF(OR(G8="Gabon", G8="Congo (RDC)", G8="Congo", G8="Tchad", G8="RCA", G8="Guinée Équatoriale"), 150000, IF(G8&lt;&gt;"", 200000, 250000)))</f>
        <v>150000</v>
      </c>
      <c r="M8" s="48"/>
      <c r="N8" s="6">
        <f t="shared" ref="N8:N29" si="1">L8-M8</f>
        <v>150000</v>
      </c>
      <c r="O8" s="44"/>
      <c r="P8" s="4" t="str">
        <f t="shared" ref="P8:P22" si="2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LONGO Paulin,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8" s="11" t="str">
        <f t="shared" ref="Q8:Q40" si="3">IF(B8="","","https://wa.me/"&amp;SUBSTITUTE(SUBSTITUTE(SUBSTITUTE(B8,"+","")," ",""),"-","")&amp;"?text="&amp;SUBSTITUTE(P8," ","%20"))</f>
        <v>https://wa.me/243812222661?text=Bonjour%20LONGO%20Paulin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9" spans="1:19" ht="27.95" customHeight="1" x14ac:dyDescent="0.25">
      <c r="A9" s="49" t="s">
        <v>82</v>
      </c>
      <c r="B9" s="50">
        <v>678348716</v>
      </c>
      <c r="C9" s="43" t="s">
        <v>137</v>
      </c>
      <c r="D9" s="5" t="str">
        <f t="shared" ref="D9:D28" ca="1" si="4">IF(B9="", "", IF(C9="", "En attente de date", IF((C9-TODAY())&lt;=0, "Urgent (J-0)", IF((C9-TODAY())&lt;=7, "Relance à J-7", IF(E9&gt;0, "Déjà relancé", "Dans les temps")))))</f>
        <v>Dans les temps</v>
      </c>
      <c r="E9" s="51">
        <v>0</v>
      </c>
      <c r="F9" s="52">
        <v>46256</v>
      </c>
      <c r="G9" s="53" t="s">
        <v>9</v>
      </c>
      <c r="H9" s="54"/>
      <c r="I9" s="53" t="s">
        <v>76</v>
      </c>
      <c r="J9" s="54" t="s">
        <v>143</v>
      </c>
      <c r="K9" s="54" t="s">
        <v>126</v>
      </c>
      <c r="L9" s="9">
        <f t="shared" si="0"/>
        <v>75000</v>
      </c>
      <c r="M9" s="55"/>
      <c r="N9" s="9">
        <f t="shared" si="1"/>
        <v>75000</v>
      </c>
      <c r="O9" s="53"/>
      <c r="P9" s="7" t="str">
        <f t="shared" si="2"/>
        <v>Bonjour Daniel TARDOLEMBAYE,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9" s="12" t="str">
        <f t="shared" si="3"/>
        <v>https://wa.me/678348716?text=Bonjour%20Daniel%20TARDOLEMBAYE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0" spans="1:19" ht="27.95" customHeight="1" x14ac:dyDescent="0.25">
      <c r="A10" s="42" t="s">
        <v>84</v>
      </c>
      <c r="B10" s="43" t="s">
        <v>86</v>
      </c>
      <c r="C10" s="43" t="s">
        <v>137</v>
      </c>
      <c r="D10" s="5" t="str">
        <f t="shared" ca="1" si="4"/>
        <v>Dans les temps</v>
      </c>
      <c r="E10" s="45"/>
      <c r="F10" s="46"/>
      <c r="G10" s="44" t="s">
        <v>12</v>
      </c>
      <c r="H10" s="47"/>
      <c r="I10" s="44" t="s">
        <v>78</v>
      </c>
      <c r="J10" s="47"/>
      <c r="K10" s="47" t="s">
        <v>140</v>
      </c>
      <c r="L10" s="6">
        <f t="shared" si="0"/>
        <v>150000</v>
      </c>
      <c r="M10" s="48"/>
      <c r="N10" s="6">
        <f t="shared" si="1"/>
        <v>150000</v>
      </c>
      <c r="O10" s="44"/>
      <c r="P10" s="4" t="str">
        <f t="shared" si="2"/>
        <v>Bonjour Rahan BWANGA,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0" s="11" t="str">
        <f t="shared" si="3"/>
        <v>https://wa.me/243993418035?text=Bonjour%20Rahan%20BWANGA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1" spans="1:19" ht="27.95" customHeight="1" x14ac:dyDescent="0.25">
      <c r="A11" s="49" t="s">
        <v>87</v>
      </c>
      <c r="B11" s="50" t="s">
        <v>88</v>
      </c>
      <c r="C11" s="43" t="s">
        <v>137</v>
      </c>
      <c r="D11" s="5" t="str">
        <f t="shared" ca="1" si="4"/>
        <v>Dans les temps</v>
      </c>
      <c r="E11" s="51"/>
      <c r="F11" s="52"/>
      <c r="G11" s="53" t="s">
        <v>50</v>
      </c>
      <c r="H11" s="54"/>
      <c r="I11" s="53" t="s">
        <v>80</v>
      </c>
      <c r="J11" s="54"/>
      <c r="K11" s="54"/>
      <c r="L11" s="9">
        <f t="shared" si="0"/>
        <v>150000</v>
      </c>
      <c r="M11" s="55"/>
      <c r="N11" s="9">
        <f t="shared" si="1"/>
        <v>150000</v>
      </c>
      <c r="O11" s="53"/>
      <c r="P11" s="7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11" s="12" t="e">
        <f t="shared" si="3"/>
        <v>#REF!</v>
      </c>
    </row>
    <row r="12" spans="1:19" ht="27.95" customHeight="1" x14ac:dyDescent="0.25">
      <c r="A12" s="42" t="s">
        <v>89</v>
      </c>
      <c r="B12" s="43" t="s">
        <v>90</v>
      </c>
      <c r="C12" s="43" t="s">
        <v>137</v>
      </c>
      <c r="D12" s="5" t="str">
        <f t="shared" ca="1" si="4"/>
        <v>Dans les temps</v>
      </c>
      <c r="E12" s="45"/>
      <c r="F12" s="46"/>
      <c r="G12" s="44" t="s">
        <v>12</v>
      </c>
      <c r="H12" s="47"/>
      <c r="I12" s="44" t="s">
        <v>76</v>
      </c>
      <c r="J12" s="47"/>
      <c r="K12" s="47"/>
      <c r="L12" s="6">
        <f t="shared" si="0"/>
        <v>150000</v>
      </c>
      <c r="M12" s="48"/>
      <c r="N12" s="6">
        <f t="shared" si="1"/>
        <v>150000</v>
      </c>
      <c r="O12" s="44"/>
      <c r="P12" s="4" t="str">
        <f>IF(B13="","","Bonjour "&amp;A13&amp;",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AEK Y,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2" s="11" t="str">
        <f t="shared" si="3"/>
        <v>https://wa.me/243992236994?text=Bonjour%20AEK%20Y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3" spans="1:19" ht="27.95" customHeight="1" x14ac:dyDescent="0.25">
      <c r="A13" s="42" t="s">
        <v>91</v>
      </c>
      <c r="B13" s="43" t="s">
        <v>92</v>
      </c>
      <c r="C13" s="43" t="s">
        <v>137</v>
      </c>
      <c r="D13" s="5" t="str">
        <f t="shared" ca="1" si="4"/>
        <v>Dans les temps</v>
      </c>
      <c r="E13" s="45"/>
      <c r="F13" s="46"/>
      <c r="G13" s="44" t="s">
        <v>2</v>
      </c>
      <c r="H13" s="47"/>
      <c r="I13" s="44" t="s">
        <v>76</v>
      </c>
      <c r="J13" s="47"/>
      <c r="K13" s="47"/>
      <c r="L13" s="6">
        <f t="shared" si="0"/>
        <v>200000</v>
      </c>
      <c r="M13" s="48"/>
      <c r="N13" s="6">
        <f t="shared" si="1"/>
        <v>200000</v>
      </c>
      <c r="O13" s="44"/>
      <c r="P13" s="4" t="str">
        <f t="shared" si="2"/>
        <v>Bonjour Pasteur Ali,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3" s="11" t="str">
        <f t="shared" si="3"/>
        <v>https://wa.me/213669177515?text=Bonjour%20Pasteur%20Al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4" spans="1:19" ht="27.95" customHeight="1" x14ac:dyDescent="0.25">
      <c r="A14" s="49" t="s">
        <v>93</v>
      </c>
      <c r="B14" s="50"/>
      <c r="C14" s="43" t="s">
        <v>137</v>
      </c>
      <c r="D14" s="5" t="str">
        <f t="shared" ca="1" si="4"/>
        <v/>
      </c>
      <c r="E14" s="51"/>
      <c r="F14" s="52"/>
      <c r="G14" s="53"/>
      <c r="H14" s="54"/>
      <c r="I14" s="53"/>
      <c r="J14" s="54"/>
      <c r="K14" s="54"/>
      <c r="L14" s="9">
        <f t="shared" si="0"/>
        <v>250000</v>
      </c>
      <c r="M14" s="55"/>
      <c r="N14" s="9">
        <f t="shared" si="1"/>
        <v>250000</v>
      </c>
      <c r="O14" s="53"/>
      <c r="P14" s="7" t="str">
        <f t="shared" si="2"/>
        <v>Bonjour ISSEA,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4" s="12" t="str">
        <f t="shared" si="3"/>
        <v/>
      </c>
    </row>
    <row r="15" spans="1:19" ht="27.95" customHeight="1" x14ac:dyDescent="0.25">
      <c r="A15" s="42" t="s">
        <v>94</v>
      </c>
      <c r="B15" s="43" t="s">
        <v>95</v>
      </c>
      <c r="C15" s="43" t="s">
        <v>137</v>
      </c>
      <c r="D15" s="5" t="str">
        <f t="shared" ca="1" si="4"/>
        <v>Déjà relancé</v>
      </c>
      <c r="E15" s="45" t="s">
        <v>135</v>
      </c>
      <c r="F15" s="46">
        <v>46256</v>
      </c>
      <c r="G15" s="44" t="s">
        <v>50</v>
      </c>
      <c r="H15" s="47"/>
      <c r="I15" s="44" t="s">
        <v>78</v>
      </c>
      <c r="J15" s="47"/>
      <c r="K15" s="47"/>
      <c r="L15" s="6">
        <f t="shared" si="0"/>
        <v>150000</v>
      </c>
      <c r="M15" s="48"/>
      <c r="N15" s="6">
        <f t="shared" si="1"/>
        <v>150000</v>
      </c>
      <c r="O15" s="44"/>
      <c r="P15" s="4" t="str">
        <f t="shared" si="2"/>
        <v>Bonjour MOI,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5" s="11" t="str">
        <f t="shared" si="3"/>
        <v>https://wa.me/23562436657?text=Bonjour%20MOI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S15" s="56"/>
    </row>
    <row r="16" spans="1:19" ht="27.95" customHeight="1" x14ac:dyDescent="0.25">
      <c r="A16" s="49" t="s">
        <v>96</v>
      </c>
      <c r="B16" s="50" t="s">
        <v>97</v>
      </c>
      <c r="C16" s="43" t="s">
        <v>137</v>
      </c>
      <c r="D16" s="5" t="str">
        <f t="shared" ca="1" si="4"/>
        <v>Déjà relancé</v>
      </c>
      <c r="E16" s="51" t="s">
        <v>135</v>
      </c>
      <c r="F16" s="52">
        <v>46256</v>
      </c>
      <c r="G16" s="53" t="s">
        <v>51</v>
      </c>
      <c r="H16" s="54"/>
      <c r="I16" s="53" t="s">
        <v>78</v>
      </c>
      <c r="J16" s="54"/>
      <c r="K16" s="54"/>
      <c r="L16" s="9">
        <f t="shared" si="0"/>
        <v>200000</v>
      </c>
      <c r="M16" s="55"/>
      <c r="N16" s="9">
        <f t="shared" si="1"/>
        <v>200000</v>
      </c>
      <c r="O16" s="53"/>
      <c r="P16" s="4" t="str">
        <f t="shared" si="2"/>
        <v>Bonjour LELO,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6" s="11" t="str">
        <f t="shared" si="3"/>
        <v>https://wa.me/22897057816?text=Bonjour%20LELO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7" spans="1:17" ht="27.95" customHeight="1" x14ac:dyDescent="0.25">
      <c r="A17" s="42" t="s">
        <v>98</v>
      </c>
      <c r="B17" s="43" t="s">
        <v>99</v>
      </c>
      <c r="C17" s="43" t="s">
        <v>137</v>
      </c>
      <c r="D17" s="5" t="str">
        <f t="shared" ca="1" si="4"/>
        <v>Déjà relancé</v>
      </c>
      <c r="E17" s="45" t="s">
        <v>135</v>
      </c>
      <c r="F17" s="46" t="s">
        <v>136</v>
      </c>
      <c r="G17" s="44" t="s">
        <v>12</v>
      </c>
      <c r="H17" s="47"/>
      <c r="I17" s="44" t="s">
        <v>78</v>
      </c>
      <c r="J17" s="47"/>
      <c r="K17" s="47"/>
      <c r="L17" s="6">
        <f t="shared" si="0"/>
        <v>150000</v>
      </c>
      <c r="M17" s="48"/>
      <c r="N17" s="6">
        <f t="shared" si="1"/>
        <v>150000</v>
      </c>
      <c r="O17" s="44"/>
      <c r="P17" s="4" t="str">
        <f t="shared" si="2"/>
        <v>Bonjour EVOUNA MFOMO,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7" s="11" t="str">
        <f t="shared" si="3"/>
        <v>https://wa.me/243999909381?text=Bonjour%20EVOUNA%20MFOMO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8" spans="1:17" ht="27.95" customHeight="1" x14ac:dyDescent="0.25">
      <c r="A18" s="49" t="s">
        <v>100</v>
      </c>
      <c r="B18" s="50" t="s">
        <v>101</v>
      </c>
      <c r="C18" s="43" t="s">
        <v>137</v>
      </c>
      <c r="D18" s="5" t="str">
        <f t="shared" ca="1" si="4"/>
        <v>Déjà relancé</v>
      </c>
      <c r="E18" s="51" t="s">
        <v>135</v>
      </c>
      <c r="F18" s="52">
        <v>46258</v>
      </c>
      <c r="G18" s="53" t="s">
        <v>12</v>
      </c>
      <c r="H18" s="54"/>
      <c r="I18" s="53"/>
      <c r="J18" s="54"/>
      <c r="K18" s="54"/>
      <c r="L18" s="9">
        <f t="shared" si="0"/>
        <v>150000</v>
      </c>
      <c r="M18" s="55"/>
      <c r="N18" s="9">
        <f t="shared" si="1"/>
        <v>150000</v>
      </c>
      <c r="O18" s="53"/>
      <c r="P18" s="4" t="str">
        <f t="shared" si="2"/>
        <v>Bonjour NGANKOU,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8" s="11" t="str">
        <f t="shared" si="3"/>
        <v>https://wa.me/243893277916?text=Bonjour%20NGANKOU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19" spans="1:17" ht="27.95" customHeight="1" x14ac:dyDescent="0.25">
      <c r="A19" s="42" t="s">
        <v>102</v>
      </c>
      <c r="B19" s="43" t="s">
        <v>103</v>
      </c>
      <c r="C19" s="43" t="s">
        <v>137</v>
      </c>
      <c r="D19" s="5" t="str">
        <f t="shared" ca="1" si="4"/>
        <v>Déjà relancé</v>
      </c>
      <c r="E19" s="45" t="s">
        <v>135</v>
      </c>
      <c r="F19" s="46">
        <v>46256</v>
      </c>
      <c r="G19" s="44" t="s">
        <v>9</v>
      </c>
      <c r="H19" s="47"/>
      <c r="I19" s="44" t="s">
        <v>78</v>
      </c>
      <c r="J19" s="47"/>
      <c r="K19" s="47"/>
      <c r="L19" s="6">
        <f t="shared" si="0"/>
        <v>75000</v>
      </c>
      <c r="M19" s="48"/>
      <c r="N19" s="6">
        <f t="shared" si="1"/>
        <v>75000</v>
      </c>
      <c r="O19" s="44"/>
      <c r="P19" s="4" t="str">
        <f t="shared" si="2"/>
        <v>Bonjour GRAND PÈRE,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19" s="11" t="str">
        <f t="shared" si="3"/>
        <v>https://wa.me/670506511?text=Bonjour%20GRAND%20PÈRE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0" spans="1:17" ht="27.95" customHeight="1" x14ac:dyDescent="0.25">
      <c r="A20" s="49" t="s">
        <v>104</v>
      </c>
      <c r="B20" s="50" t="s">
        <v>105</v>
      </c>
      <c r="C20" s="43" t="s">
        <v>137</v>
      </c>
      <c r="D20" s="5" t="str">
        <f t="shared" ca="1" si="4"/>
        <v>Dans les temps</v>
      </c>
      <c r="E20" s="51"/>
      <c r="F20" s="52"/>
      <c r="G20" s="53" t="s">
        <v>9</v>
      </c>
      <c r="H20" s="54"/>
      <c r="I20" s="53" t="s">
        <v>80</v>
      </c>
      <c r="J20" s="54"/>
      <c r="K20" s="54"/>
      <c r="L20" s="9">
        <f t="shared" si="0"/>
        <v>75000</v>
      </c>
      <c r="M20" s="55"/>
      <c r="N20" s="9">
        <f t="shared" si="1"/>
        <v>75000</v>
      </c>
      <c r="O20" s="53"/>
      <c r="P20" s="4" t="str">
        <f t="shared" si="2"/>
        <v>Bonjour TWITE KOY,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0" s="11" t="str">
        <f t="shared" si="3"/>
        <v>https://wa.me/655225252?text=Bonjour%20TWITE%20KOY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1" spans="1:17" ht="27.95" customHeight="1" x14ac:dyDescent="0.25">
      <c r="A21" s="42" t="s">
        <v>106</v>
      </c>
      <c r="B21" s="43" t="s">
        <v>107</v>
      </c>
      <c r="C21" s="43" t="s">
        <v>137</v>
      </c>
      <c r="D21" s="5" t="str">
        <f t="shared" ca="1" si="4"/>
        <v>Déjà relancé</v>
      </c>
      <c r="E21" s="45" t="s">
        <v>135</v>
      </c>
      <c r="F21" s="46">
        <v>46256</v>
      </c>
      <c r="G21" s="44" t="s">
        <v>12</v>
      </c>
      <c r="H21" s="47"/>
      <c r="I21" s="44" t="s">
        <v>76</v>
      </c>
      <c r="J21" s="47"/>
      <c r="K21" s="47"/>
      <c r="L21" s="6">
        <f t="shared" si="0"/>
        <v>150000</v>
      </c>
      <c r="M21" s="48"/>
      <c r="N21" s="6">
        <f t="shared" si="1"/>
        <v>150000</v>
      </c>
      <c r="O21" s="44"/>
      <c r="P21" s="4" t="str">
        <f t="shared" si="2"/>
        <v>Bonjour ABROUK Nadia,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1" s="11" t="str">
        <f t="shared" si="3"/>
        <v>https://wa.me/243811950687?text=Bonjour%20ABROUK%20Nadia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2" spans="1:17" ht="27.95" customHeight="1" x14ac:dyDescent="0.25">
      <c r="A22" s="49" t="s">
        <v>108</v>
      </c>
      <c r="B22" s="50" t="s">
        <v>109</v>
      </c>
      <c r="C22" s="43" t="s">
        <v>137</v>
      </c>
      <c r="D22" s="5" t="str">
        <f t="shared" ca="1" si="4"/>
        <v>Déjà relancé</v>
      </c>
      <c r="E22" s="51" t="s">
        <v>135</v>
      </c>
      <c r="F22" s="52">
        <v>46256</v>
      </c>
      <c r="G22" s="53" t="s">
        <v>12</v>
      </c>
      <c r="H22" s="54"/>
      <c r="I22" s="53" t="s">
        <v>80</v>
      </c>
      <c r="J22" s="54" t="s">
        <v>114</v>
      </c>
      <c r="K22" s="54"/>
      <c r="L22" s="9">
        <f t="shared" si="0"/>
        <v>150000</v>
      </c>
      <c r="M22" s="55"/>
      <c r="N22" s="9">
        <f t="shared" si="1"/>
        <v>150000</v>
      </c>
      <c r="O22" s="53"/>
      <c r="P22" s="4" t="str">
        <f t="shared" si="2"/>
        <v>Bonjour HERITIER,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2" s="11" t="str">
        <f t="shared" si="3"/>
        <v>https://wa.me/243842457584?text=Bonjour%20HERITIER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3" spans="1:17" ht="27.95" customHeight="1" x14ac:dyDescent="0.25">
      <c r="A23" s="42" t="s">
        <v>110</v>
      </c>
      <c r="B23" s="43" t="s">
        <v>111</v>
      </c>
      <c r="C23" s="43" t="s">
        <v>137</v>
      </c>
      <c r="D23" s="5" t="str">
        <f t="shared" ca="1" si="4"/>
        <v>Déjà relancé</v>
      </c>
      <c r="E23" s="45" t="s">
        <v>135</v>
      </c>
      <c r="F23" s="46">
        <v>46256</v>
      </c>
      <c r="G23" s="44" t="s">
        <v>2</v>
      </c>
      <c r="H23" s="47"/>
      <c r="I23" s="44"/>
      <c r="J23" s="47"/>
      <c r="K23" s="47"/>
      <c r="L23" s="6">
        <f t="shared" si="0"/>
        <v>200000</v>
      </c>
      <c r="M23" s="48"/>
      <c r="N23" s="6">
        <f t="shared" si="1"/>
        <v>200000</v>
      </c>
      <c r="O23" s="44"/>
      <c r="P23" s="4" t="str">
        <f>IF(B25="","","Bonjour "&amp;A25&amp;",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Dr LINGILI MONGA DONU Richard,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3" s="11" t="str">
        <f t="shared" si="3"/>
        <v>https://wa.me/213660089033?text=Bonjour%20Dr%20LINGILI%20MONGA%20DONU%20Richard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4" spans="1:17" ht="27.95" customHeight="1" x14ac:dyDescent="0.25">
      <c r="A24" s="49" t="s">
        <v>112</v>
      </c>
      <c r="B24" s="50" t="s">
        <v>113</v>
      </c>
      <c r="C24" s="43" t="s">
        <v>137</v>
      </c>
      <c r="D24" s="5" t="str">
        <f t="shared" ca="1" si="4"/>
        <v>Déjà relancé</v>
      </c>
      <c r="E24" s="51" t="s">
        <v>135</v>
      </c>
      <c r="F24" s="52">
        <v>46256</v>
      </c>
      <c r="G24" s="53" t="s">
        <v>12</v>
      </c>
      <c r="H24" s="54"/>
      <c r="I24" s="53"/>
      <c r="J24" s="54" t="s">
        <v>83</v>
      </c>
      <c r="K24" s="54"/>
      <c r="L24" s="9">
        <f t="shared" si="0"/>
        <v>150000</v>
      </c>
      <c r="M24" s="55"/>
      <c r="N24" s="9">
        <f t="shared" si="1"/>
        <v>150000</v>
      </c>
      <c r="O24" s="53"/>
      <c r="P24" s="4" t="str">
        <f>IF(B28="","","Bonjour "&amp;A28&amp;",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SEVERIN Sahel,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24" s="11" t="str">
        <f t="shared" si="3"/>
        <v>https://wa.me/243817856572?text=Bonjour%20SEVERIN%20Sahel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</row>
    <row r="25" spans="1:17" ht="27.95" customHeight="1" x14ac:dyDescent="0.25">
      <c r="A25" s="42" t="s">
        <v>115</v>
      </c>
      <c r="B25" s="43" t="s">
        <v>116</v>
      </c>
      <c r="C25" s="43" t="s">
        <v>137</v>
      </c>
      <c r="D25" s="5" t="str">
        <f t="shared" ca="1" si="4"/>
        <v>Dans les temps</v>
      </c>
      <c r="E25" s="45"/>
      <c r="F25" s="46"/>
      <c r="G25" s="44" t="s">
        <v>12</v>
      </c>
      <c r="H25" s="47" t="s">
        <v>150</v>
      </c>
      <c r="I25" s="44" t="s">
        <v>77</v>
      </c>
      <c r="J25" s="47" t="s">
        <v>117</v>
      </c>
      <c r="K25" s="47"/>
      <c r="L25" s="6">
        <f t="shared" si="0"/>
        <v>150000</v>
      </c>
      <c r="M25" s="48"/>
      <c r="N25" s="6">
        <f t="shared" si="1"/>
        <v>150000</v>
      </c>
      <c r="O25" s="44"/>
      <c r="P25" s="4" t="str">
        <f t="shared" ref="P25:P42" si="5"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11" t="str">
        <f t="shared" si="3"/>
        <v>https://wa.me/243813697976?text=</v>
      </c>
    </row>
    <row r="26" spans="1:17" ht="27.95" customHeight="1" x14ac:dyDescent="0.25">
      <c r="A26" s="42" t="s">
        <v>115</v>
      </c>
      <c r="B26" s="43" t="s">
        <v>116</v>
      </c>
      <c r="C26" s="43" t="s">
        <v>137</v>
      </c>
      <c r="D26" s="5" t="str">
        <f t="shared" ca="1" si="4"/>
        <v>Dans les temps</v>
      </c>
      <c r="E26" s="45"/>
      <c r="F26" s="46"/>
      <c r="G26" s="44" t="s">
        <v>12</v>
      </c>
      <c r="H26" s="47" t="s">
        <v>152</v>
      </c>
      <c r="I26" s="44" t="s">
        <v>77</v>
      </c>
      <c r="J26" s="47"/>
      <c r="K26" s="47"/>
      <c r="L26" s="6">
        <f>IF(G26="Cameroun", 75000, IF(OR(G26="Gabon", G26="Congo (RDC)", G26="Congo", G26="Tchad", G26="RCA", G26="Guinée Équatoriale"), 150000, IF(G26&lt;&gt;"", 200000, 250000)))</f>
        <v>150000</v>
      </c>
      <c r="M26" s="48"/>
      <c r="N26" s="6">
        <f>L26-M26</f>
        <v>150000</v>
      </c>
      <c r="O26" s="44"/>
      <c r="P26" s="4" t="str">
        <f t="shared" si="5"/>
        <v/>
      </c>
      <c r="Q26" s="11" t="str">
        <f>IF(B26="","","https://wa.me/"&amp;SUBSTITUTE(SUBSTITUTE(SUBSTITUTE(B26,"+","")," ",""),"-","")&amp;"?text="&amp;SUBSTITUTE(P26," ","%20"))</f>
        <v>https://wa.me/243813697976?text=</v>
      </c>
    </row>
    <row r="27" spans="1:17" ht="60" x14ac:dyDescent="0.25">
      <c r="A27" s="42" t="s">
        <v>115</v>
      </c>
      <c r="B27" s="43" t="s">
        <v>116</v>
      </c>
      <c r="C27" s="43" t="s">
        <v>137</v>
      </c>
      <c r="D27" s="5" t="str">
        <f t="shared" ca="1" si="4"/>
        <v>Dans les temps</v>
      </c>
      <c r="E27" s="45"/>
      <c r="F27" s="46"/>
      <c r="G27" s="44" t="s">
        <v>12</v>
      </c>
      <c r="H27" s="47" t="s">
        <v>151</v>
      </c>
      <c r="I27" s="44" t="s">
        <v>77</v>
      </c>
      <c r="J27" s="47" t="s">
        <v>144</v>
      </c>
      <c r="K27" s="47"/>
      <c r="L27" s="6">
        <f>IF(G27="Cameroun", 75000, IF(OR(G27="Gabon", G27="Congo (RDC)", G27="Congo", G27="Tchad", G27="RCA", G27="Guinée Équatoriale"), 150000, IF(G27&lt;&gt;"", 200000, 250000)))</f>
        <v>150000</v>
      </c>
      <c r="M27" s="48"/>
      <c r="N27" s="6">
        <f>L27-M27</f>
        <v>150000</v>
      </c>
      <c r="O27" s="44"/>
      <c r="P27" s="4" t="str">
        <f t="shared" si="5"/>
        <v/>
      </c>
      <c r="Q27" s="11" t="str">
        <f>IF(B27="","","https://wa.me/"&amp;SUBSTITUTE(SUBSTITUTE(SUBSTITUTE(B27,"+","")," ",""),"-","")&amp;"?text="&amp;SUBSTITUTE(P27," ","%20"))</f>
        <v>https://wa.me/243813697976?text=</v>
      </c>
    </row>
    <row r="28" spans="1:17" x14ac:dyDescent="0.25">
      <c r="A28" s="42" t="s">
        <v>118</v>
      </c>
      <c r="B28" s="43" t="s">
        <v>119</v>
      </c>
      <c r="C28" s="43" t="s">
        <v>137</v>
      </c>
      <c r="D28" s="5" t="str">
        <f t="shared" ca="1" si="4"/>
        <v>Déjà relancé</v>
      </c>
      <c r="E28" s="45" t="s">
        <v>135</v>
      </c>
      <c r="F28" s="46" t="s">
        <v>134</v>
      </c>
      <c r="G28" s="44" t="s">
        <v>9</v>
      </c>
      <c r="H28" s="47"/>
      <c r="I28" s="44" t="s">
        <v>80</v>
      </c>
      <c r="J28" s="47"/>
      <c r="K28" s="47"/>
      <c r="L28" s="6">
        <f t="shared" si="0"/>
        <v>75000</v>
      </c>
      <c r="M28" s="48"/>
      <c r="N28" s="6">
        <f>L28-M28</f>
        <v>75000</v>
      </c>
      <c r="O28" s="44"/>
      <c r="P28" s="4" t="str">
        <f t="shared" si="5"/>
        <v/>
      </c>
      <c r="Q28" s="11" t="str">
        <f t="shared" si="3"/>
        <v>https://wa.me/651532468?text=</v>
      </c>
    </row>
    <row r="29" spans="1:17" x14ac:dyDescent="0.25">
      <c r="A29" s="42"/>
      <c r="B29" s="43"/>
      <c r="C29" s="43"/>
      <c r="D29" s="5"/>
      <c r="E29" s="45"/>
      <c r="F29" s="46"/>
      <c r="G29" s="44"/>
      <c r="H29" s="47"/>
      <c r="I29" s="44"/>
      <c r="J29" s="47"/>
      <c r="K29" s="47"/>
      <c r="L29" s="6">
        <f t="shared" si="0"/>
        <v>250000</v>
      </c>
      <c r="M29" s="48"/>
      <c r="N29" s="6">
        <f t="shared" si="1"/>
        <v>250000</v>
      </c>
      <c r="O29" s="44"/>
      <c r="P29" s="4" t="str">
        <f t="shared" si="5"/>
        <v/>
      </c>
      <c r="Q29" s="11" t="str">
        <f t="shared" si="3"/>
        <v/>
      </c>
    </row>
    <row r="30" spans="1:17" x14ac:dyDescent="0.25">
      <c r="A30" s="42"/>
      <c r="B30" s="43"/>
      <c r="C30" s="43"/>
      <c r="D30" s="5"/>
      <c r="E30" s="45"/>
      <c r="F30" s="46"/>
      <c r="G30" s="44"/>
      <c r="H30" s="47"/>
      <c r="I30" s="44"/>
      <c r="J30" s="47"/>
      <c r="K30" s="47"/>
      <c r="L30" s="6">
        <f t="shared" si="0"/>
        <v>250000</v>
      </c>
      <c r="M30" s="48"/>
      <c r="N30" s="6">
        <f>L30-M30</f>
        <v>250000</v>
      </c>
      <c r="O30" s="44"/>
      <c r="P30" s="4" t="str">
        <f t="shared" si="5"/>
        <v/>
      </c>
      <c r="Q30" s="11" t="str">
        <f t="shared" si="3"/>
        <v/>
      </c>
    </row>
    <row r="31" spans="1:17" x14ac:dyDescent="0.25">
      <c r="A31" s="42"/>
      <c r="B31" s="43"/>
      <c r="C31" s="43"/>
      <c r="D31" s="5"/>
      <c r="E31" s="45"/>
      <c r="F31" s="46"/>
      <c r="G31" s="44"/>
      <c r="H31" s="47"/>
      <c r="I31" s="44"/>
      <c r="J31" s="47"/>
      <c r="K31" s="47"/>
      <c r="L31" s="6">
        <f t="shared" si="0"/>
        <v>250000</v>
      </c>
      <c r="M31" s="48"/>
      <c r="N31" s="6">
        <f t="shared" ref="N31:N60" si="6">L31-M31</f>
        <v>250000</v>
      </c>
      <c r="O31" s="44"/>
      <c r="P31" s="4" t="str">
        <f t="shared" si="5"/>
        <v/>
      </c>
      <c r="Q31" s="11" t="str">
        <f t="shared" si="3"/>
        <v/>
      </c>
    </row>
    <row r="32" spans="1:17" x14ac:dyDescent="0.25">
      <c r="A32" s="42"/>
      <c r="B32" s="43"/>
      <c r="C32" s="43"/>
      <c r="D32" s="5"/>
      <c r="E32" s="45"/>
      <c r="F32" s="46"/>
      <c r="G32" s="44"/>
      <c r="H32" s="47"/>
      <c r="I32" s="44"/>
      <c r="J32" s="47"/>
      <c r="K32" s="47"/>
      <c r="L32" s="6">
        <f t="shared" si="0"/>
        <v>250000</v>
      </c>
      <c r="M32" s="48"/>
      <c r="N32" s="6">
        <f t="shared" si="6"/>
        <v>250000</v>
      </c>
      <c r="O32" s="44"/>
      <c r="P32" s="4" t="str">
        <f t="shared" si="5"/>
        <v/>
      </c>
      <c r="Q32" s="11" t="str">
        <f t="shared" si="3"/>
        <v/>
      </c>
    </row>
    <row r="33" spans="1:17" x14ac:dyDescent="0.25">
      <c r="A33" s="42"/>
      <c r="B33" s="43"/>
      <c r="C33" s="43"/>
      <c r="D33" s="5"/>
      <c r="E33" s="45"/>
      <c r="F33" s="46"/>
      <c r="G33" s="44"/>
      <c r="H33" s="47"/>
      <c r="I33" s="44"/>
      <c r="J33" s="47"/>
      <c r="K33" s="47"/>
      <c r="L33" s="6">
        <f t="shared" si="0"/>
        <v>250000</v>
      </c>
      <c r="M33" s="48"/>
      <c r="N33" s="6">
        <f t="shared" si="6"/>
        <v>250000</v>
      </c>
      <c r="O33" s="44"/>
      <c r="P33" s="4" t="str">
        <f t="shared" si="5"/>
        <v/>
      </c>
      <c r="Q33" s="11" t="str">
        <f t="shared" si="3"/>
        <v/>
      </c>
    </row>
    <row r="34" spans="1:17" x14ac:dyDescent="0.25">
      <c r="A34" s="42"/>
      <c r="B34" s="43"/>
      <c r="C34" s="43"/>
      <c r="D34" s="5"/>
      <c r="E34" s="45"/>
      <c r="F34" s="46"/>
      <c r="G34" s="44"/>
      <c r="H34" s="47"/>
      <c r="I34" s="44"/>
      <c r="J34" s="47"/>
      <c r="K34" s="47"/>
      <c r="L34" s="6">
        <f t="shared" si="0"/>
        <v>250000</v>
      </c>
      <c r="M34" s="48"/>
      <c r="N34" s="6">
        <f t="shared" si="6"/>
        <v>250000</v>
      </c>
      <c r="O34" s="44"/>
      <c r="P34" s="4" t="str">
        <f t="shared" si="5"/>
        <v/>
      </c>
      <c r="Q34" s="11" t="str">
        <f t="shared" si="3"/>
        <v/>
      </c>
    </row>
    <row r="35" spans="1:17" ht="14.25" customHeight="1" x14ac:dyDescent="0.25">
      <c r="A35" s="42"/>
      <c r="B35" s="43"/>
      <c r="C35" s="43"/>
      <c r="D35" s="5"/>
      <c r="E35" s="45"/>
      <c r="F35" s="46"/>
      <c r="G35" s="44"/>
      <c r="H35" s="47"/>
      <c r="I35" s="44"/>
      <c r="J35" s="47"/>
      <c r="K35" s="47"/>
      <c r="L35" s="6">
        <f t="shared" si="0"/>
        <v>250000</v>
      </c>
      <c r="M35" s="48"/>
      <c r="N35" s="6">
        <f t="shared" si="6"/>
        <v>250000</v>
      </c>
      <c r="O35" s="44"/>
      <c r="P35" s="4" t="str">
        <f t="shared" si="5"/>
        <v/>
      </c>
      <c r="Q35" s="11" t="str">
        <f t="shared" si="3"/>
        <v/>
      </c>
    </row>
    <row r="36" spans="1:17" x14ac:dyDescent="0.25">
      <c r="A36" s="42"/>
      <c r="B36" s="43"/>
      <c r="C36" s="43"/>
      <c r="D36" s="5"/>
      <c r="E36" s="45"/>
      <c r="F36" s="46"/>
      <c r="G36" s="44"/>
      <c r="H36" s="47"/>
      <c r="I36" s="44"/>
      <c r="J36" s="47"/>
      <c r="K36" s="47"/>
      <c r="L36" s="6">
        <f t="shared" si="0"/>
        <v>250000</v>
      </c>
      <c r="M36" s="48"/>
      <c r="N36" s="6">
        <f t="shared" si="6"/>
        <v>250000</v>
      </c>
      <c r="O36" s="44"/>
      <c r="P36" s="4" t="str">
        <f t="shared" si="5"/>
        <v/>
      </c>
      <c r="Q36" s="11" t="str">
        <f t="shared" si="3"/>
        <v/>
      </c>
    </row>
    <row r="37" spans="1:17" x14ac:dyDescent="0.25">
      <c r="A37" s="42"/>
      <c r="B37" s="43"/>
      <c r="C37" s="43"/>
      <c r="D37" s="5"/>
      <c r="E37" s="45"/>
      <c r="F37" s="46"/>
      <c r="G37" s="44"/>
      <c r="H37" s="47"/>
      <c r="I37" s="44"/>
      <c r="J37" s="47"/>
      <c r="K37" s="47"/>
      <c r="L37" s="6">
        <f t="shared" si="0"/>
        <v>250000</v>
      </c>
      <c r="M37" s="48"/>
      <c r="N37" s="6">
        <f t="shared" si="6"/>
        <v>250000</v>
      </c>
      <c r="O37" s="44"/>
      <c r="P37" s="4" t="str">
        <f t="shared" si="5"/>
        <v/>
      </c>
      <c r="Q37" s="11" t="str">
        <f t="shared" si="3"/>
        <v/>
      </c>
    </row>
    <row r="38" spans="1:17" x14ac:dyDescent="0.25">
      <c r="A38" s="42"/>
      <c r="B38" s="43"/>
      <c r="C38" s="43"/>
      <c r="D38" s="5"/>
      <c r="E38" s="45"/>
      <c r="F38" s="46"/>
      <c r="G38" s="44"/>
      <c r="H38" s="47"/>
      <c r="I38" s="44"/>
      <c r="J38" s="47"/>
      <c r="K38" s="47"/>
      <c r="L38" s="6">
        <f t="shared" si="0"/>
        <v>250000</v>
      </c>
      <c r="M38" s="48"/>
      <c r="N38" s="6">
        <f t="shared" si="6"/>
        <v>250000</v>
      </c>
      <c r="O38" s="44"/>
      <c r="P38" s="4" t="str">
        <f t="shared" si="5"/>
        <v/>
      </c>
      <c r="Q38" s="11" t="str">
        <f t="shared" si="3"/>
        <v/>
      </c>
    </row>
    <row r="39" spans="1:17" x14ac:dyDescent="0.25">
      <c r="A39" s="42"/>
      <c r="B39" s="43"/>
      <c r="C39" s="43"/>
      <c r="D39" s="5"/>
      <c r="E39" s="45"/>
      <c r="F39" s="46"/>
      <c r="G39" s="44"/>
      <c r="H39" s="47"/>
      <c r="I39" s="44"/>
      <c r="J39" s="47"/>
      <c r="K39" s="47"/>
      <c r="L39" s="6">
        <f t="shared" si="0"/>
        <v>250000</v>
      </c>
      <c r="M39" s="48"/>
      <c r="N39" s="6">
        <f t="shared" si="6"/>
        <v>250000</v>
      </c>
      <c r="O39" s="44"/>
      <c r="P39" s="4" t="str">
        <f t="shared" si="5"/>
        <v/>
      </c>
      <c r="Q39" s="11" t="str">
        <f t="shared" si="3"/>
        <v/>
      </c>
    </row>
    <row r="40" spans="1:17" x14ac:dyDescent="0.25">
      <c r="A40" s="42"/>
      <c r="B40" s="43"/>
      <c r="C40" s="43"/>
      <c r="D40" s="5"/>
      <c r="E40" s="45"/>
      <c r="F40" s="46"/>
      <c r="G40" s="44"/>
      <c r="H40" s="47"/>
      <c r="I40" s="44"/>
      <c r="J40" s="47"/>
      <c r="K40" s="47"/>
      <c r="L40" s="6">
        <f t="shared" si="0"/>
        <v>250000</v>
      </c>
      <c r="M40" s="48"/>
      <c r="N40" s="6">
        <f t="shared" si="6"/>
        <v>250000</v>
      </c>
      <c r="O40" s="44"/>
      <c r="P40" s="4" t="str">
        <f t="shared" si="5"/>
        <v/>
      </c>
      <c r="Q40" s="11" t="str">
        <f t="shared" si="3"/>
        <v/>
      </c>
    </row>
    <row r="41" spans="1:17" x14ac:dyDescent="0.25">
      <c r="A41" s="42"/>
      <c r="B41" s="43"/>
      <c r="C41" s="43"/>
      <c r="D41" s="5"/>
      <c r="E41" s="45"/>
      <c r="F41" s="46"/>
      <c r="G41" s="44"/>
      <c r="H41" s="47"/>
      <c r="I41" s="44"/>
      <c r="J41" s="47"/>
      <c r="K41" s="47"/>
      <c r="L41" s="6">
        <f t="shared" ref="L41:L70" si="7">IF(G41="Cameroun", 75000, IF(OR(G41="Gabon", G41="Congo (RDC)", G41="Congo", G41="Tchad", G41="RCA", G41="Guinée Équatoriale"), 150000, IF(G41&lt;&gt;"", 200000, 250000)))</f>
        <v>250000</v>
      </c>
      <c r="M41" s="48"/>
      <c r="N41" s="6">
        <f t="shared" si="6"/>
        <v>250000</v>
      </c>
      <c r="O41" s="44"/>
      <c r="P41" s="4" t="str">
        <f t="shared" si="5"/>
        <v/>
      </c>
      <c r="Q41" s="11" t="str">
        <f t="shared" ref="Q41:Q70" si="8">IF(B41="","","https://wa.me/"&amp;SUBSTITUTE(SUBSTITUTE(SUBSTITUTE(B41,"+","")," ",""),"-","")&amp;"?text="&amp;SUBSTITUTE(P41," ","%20"))</f>
        <v/>
      </c>
    </row>
    <row r="42" spans="1:17" x14ac:dyDescent="0.25">
      <c r="A42" s="42"/>
      <c r="B42" s="43"/>
      <c r="C42" s="43"/>
      <c r="D42" s="5"/>
      <c r="E42" s="45"/>
      <c r="F42" s="46"/>
      <c r="G42" s="44"/>
      <c r="H42" s="47"/>
      <c r="I42" s="44"/>
      <c r="J42" s="47"/>
      <c r="K42" s="47"/>
      <c r="L42" s="6">
        <f t="shared" si="7"/>
        <v>250000</v>
      </c>
      <c r="M42" s="48"/>
      <c r="N42" s="6">
        <f t="shared" si="6"/>
        <v>250000</v>
      </c>
      <c r="O42" s="44"/>
      <c r="P42" s="4" t="str">
        <f t="shared" si="5"/>
        <v/>
      </c>
      <c r="Q42" s="11" t="str">
        <f t="shared" si="8"/>
        <v/>
      </c>
    </row>
    <row r="43" spans="1:17" x14ac:dyDescent="0.25">
      <c r="A43" s="42"/>
      <c r="B43" s="43"/>
      <c r="C43" s="43"/>
      <c r="D43" s="5"/>
      <c r="E43" s="45"/>
      <c r="F43" s="46"/>
      <c r="G43" s="44"/>
      <c r="H43" s="47"/>
      <c r="I43" s="44"/>
      <c r="J43" s="47"/>
      <c r="K43" s="47"/>
      <c r="L43" s="6">
        <f t="shared" si="7"/>
        <v>250000</v>
      </c>
      <c r="M43" s="48"/>
      <c r="N43" s="6">
        <f t="shared" si="6"/>
        <v>250000</v>
      </c>
      <c r="O43" s="44"/>
      <c r="P43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3" s="11" t="str">
        <f t="shared" si="8"/>
        <v/>
      </c>
    </row>
    <row r="44" spans="1:17" ht="15.75" customHeight="1" x14ac:dyDescent="0.25">
      <c r="A44" s="42"/>
      <c r="B44" s="43"/>
      <c r="C44" s="43"/>
      <c r="D44" s="5"/>
      <c r="E44" s="45"/>
      <c r="F44" s="46"/>
      <c r="G44" s="44"/>
      <c r="H44" s="47"/>
      <c r="I44" s="44"/>
      <c r="J44" s="47"/>
      <c r="K44" s="47"/>
      <c r="L44" s="6">
        <f t="shared" si="7"/>
        <v>250000</v>
      </c>
      <c r="M44" s="48"/>
      <c r="N44" s="6">
        <f t="shared" si="6"/>
        <v>250000</v>
      </c>
      <c r="O44" s="44"/>
      <c r="P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4" s="11" t="str">
        <f t="shared" si="8"/>
        <v/>
      </c>
    </row>
    <row r="45" spans="1:17" x14ac:dyDescent="0.25">
      <c r="A45" s="42"/>
      <c r="B45" s="43"/>
      <c r="C45" s="43"/>
      <c r="D45" s="5"/>
      <c r="E45" s="45"/>
      <c r="F45" s="46"/>
      <c r="G45" s="44"/>
      <c r="H45" s="47"/>
      <c r="I45" s="44"/>
      <c r="J45" s="47"/>
      <c r="K45" s="47"/>
      <c r="L45" s="6">
        <f t="shared" si="7"/>
        <v>250000</v>
      </c>
      <c r="M45" s="48"/>
      <c r="N45" s="6">
        <f t="shared" si="6"/>
        <v>250000</v>
      </c>
      <c r="O45" s="44"/>
      <c r="P45" s="4" t="str">
        <f>IF(B47="","","Bonjour "&amp;A47&amp;",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5" s="11" t="str">
        <f t="shared" si="8"/>
        <v/>
      </c>
    </row>
    <row r="46" spans="1:17" x14ac:dyDescent="0.25">
      <c r="A46" s="42"/>
      <c r="B46" s="43"/>
      <c r="C46" s="43"/>
      <c r="D46" s="5"/>
      <c r="E46" s="45"/>
      <c r="F46" s="46"/>
      <c r="G46" s="44"/>
      <c r="H46" s="47"/>
      <c r="I46" s="44"/>
      <c r="J46" s="47"/>
      <c r="K46" s="47"/>
      <c r="L46" s="6">
        <f t="shared" si="7"/>
        <v>250000</v>
      </c>
      <c r="M46" s="48"/>
      <c r="N46" s="6">
        <f t="shared" si="6"/>
        <v>250000</v>
      </c>
      <c r="O46" s="44"/>
      <c r="P46" s="4" t="str">
        <f>IF(B48="","","Bonjour "&amp;A48&amp;",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6" s="11" t="str">
        <f t="shared" si="8"/>
        <v/>
      </c>
    </row>
    <row r="47" spans="1:17" x14ac:dyDescent="0.25">
      <c r="A47" s="49"/>
      <c r="B47" s="50"/>
      <c r="C47" s="50"/>
      <c r="D47" s="8"/>
      <c r="E47" s="51"/>
      <c r="F47" s="52"/>
      <c r="G47" s="53"/>
      <c r="H47" s="54"/>
      <c r="I47" s="53"/>
      <c r="J47" s="54"/>
      <c r="K47" s="54"/>
      <c r="L47" s="9">
        <f t="shared" si="7"/>
        <v>250000</v>
      </c>
      <c r="M47" s="55"/>
      <c r="N47" s="9">
        <f t="shared" si="6"/>
        <v>250000</v>
      </c>
      <c r="O47" s="53"/>
      <c r="P47" s="4" t="str">
        <f t="shared" ref="P47:P70" si="9">IF(B49="","","Bonjour "&amp;A49&amp;",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7" s="11" t="str">
        <f t="shared" si="8"/>
        <v/>
      </c>
    </row>
    <row r="48" spans="1:17" x14ac:dyDescent="0.25">
      <c r="A48" s="49"/>
      <c r="B48" s="50"/>
      <c r="C48" s="50"/>
      <c r="D48" s="8"/>
      <c r="E48" s="51"/>
      <c r="F48" s="52"/>
      <c r="G48" s="53"/>
      <c r="H48" s="54"/>
      <c r="I48" s="53"/>
      <c r="J48" s="54"/>
      <c r="K48" s="54"/>
      <c r="L48" s="9">
        <f t="shared" si="7"/>
        <v>250000</v>
      </c>
      <c r="M48" s="55"/>
      <c r="N48" s="9">
        <f t="shared" si="6"/>
        <v>250000</v>
      </c>
      <c r="O48" s="53"/>
      <c r="P48" s="4" t="str">
        <f t="shared" si="9"/>
        <v/>
      </c>
      <c r="Q48" s="11" t="str">
        <f t="shared" si="8"/>
        <v/>
      </c>
    </row>
    <row r="49" spans="1:17" x14ac:dyDescent="0.25">
      <c r="A49" s="49"/>
      <c r="B49" s="50"/>
      <c r="C49" s="50"/>
      <c r="D49" s="8"/>
      <c r="E49" s="51"/>
      <c r="F49" s="52"/>
      <c r="G49" s="53"/>
      <c r="H49" s="54"/>
      <c r="I49" s="53"/>
      <c r="J49" s="54"/>
      <c r="K49" s="54"/>
      <c r="L49" s="9">
        <f t="shared" si="7"/>
        <v>250000</v>
      </c>
      <c r="M49" s="55"/>
      <c r="N49" s="9">
        <f t="shared" si="6"/>
        <v>250000</v>
      </c>
      <c r="O49" s="53"/>
      <c r="P49" s="4" t="str">
        <f t="shared" si="9"/>
        <v/>
      </c>
      <c r="Q49" s="11" t="str">
        <f t="shared" si="8"/>
        <v/>
      </c>
    </row>
    <row r="50" spans="1:17" x14ac:dyDescent="0.25">
      <c r="A50" s="49"/>
      <c r="B50" s="50"/>
      <c r="C50" s="50"/>
      <c r="D50" s="8"/>
      <c r="E50" s="51"/>
      <c r="F50" s="52"/>
      <c r="G50" s="53"/>
      <c r="H50" s="54"/>
      <c r="I50" s="53"/>
      <c r="J50" s="54"/>
      <c r="K50" s="54"/>
      <c r="L50" s="9">
        <f t="shared" si="7"/>
        <v>250000</v>
      </c>
      <c r="M50" s="55"/>
      <c r="N50" s="9">
        <f t="shared" si="6"/>
        <v>250000</v>
      </c>
      <c r="O50" s="53"/>
      <c r="P50" s="4" t="str">
        <f t="shared" si="9"/>
        <v/>
      </c>
      <c r="Q50" s="11" t="str">
        <f t="shared" si="8"/>
        <v/>
      </c>
    </row>
    <row r="51" spans="1:17" x14ac:dyDescent="0.25">
      <c r="A51" s="49"/>
      <c r="B51" s="50"/>
      <c r="C51" s="50"/>
      <c r="D51" s="8"/>
      <c r="E51" s="51"/>
      <c r="F51" s="52"/>
      <c r="G51" s="53"/>
      <c r="H51" s="54"/>
      <c r="I51" s="53"/>
      <c r="J51" s="54"/>
      <c r="K51" s="54"/>
      <c r="L51" s="9">
        <f t="shared" si="7"/>
        <v>250000</v>
      </c>
      <c r="M51" s="55"/>
      <c r="N51" s="9">
        <f t="shared" si="6"/>
        <v>250000</v>
      </c>
      <c r="O51" s="53"/>
      <c r="P51" s="4" t="str">
        <f t="shared" si="9"/>
        <v/>
      </c>
      <c r="Q51" s="17" t="str">
        <f t="shared" si="8"/>
        <v/>
      </c>
    </row>
    <row r="52" spans="1:17" x14ac:dyDescent="0.25">
      <c r="A52" s="49"/>
      <c r="B52" s="50"/>
      <c r="C52" s="50"/>
      <c r="D52" s="8"/>
      <c r="E52" s="51"/>
      <c r="F52" s="52"/>
      <c r="G52" s="53"/>
      <c r="H52" s="54"/>
      <c r="I52" s="53"/>
      <c r="J52" s="54"/>
      <c r="K52" s="54"/>
      <c r="L52" s="9">
        <f t="shared" si="7"/>
        <v>250000</v>
      </c>
      <c r="M52" s="55"/>
      <c r="N52" s="9">
        <f t="shared" si="6"/>
        <v>250000</v>
      </c>
      <c r="O52" s="53"/>
      <c r="P52" s="4" t="str">
        <f t="shared" si="9"/>
        <v/>
      </c>
      <c r="Q52" s="17" t="str">
        <f t="shared" si="8"/>
        <v/>
      </c>
    </row>
    <row r="53" spans="1:17" x14ac:dyDescent="0.25">
      <c r="A53" s="49"/>
      <c r="B53" s="50"/>
      <c r="C53" s="50"/>
      <c r="D53" s="8"/>
      <c r="E53" s="51"/>
      <c r="F53" s="52"/>
      <c r="G53" s="53"/>
      <c r="H53" s="54"/>
      <c r="I53" s="53"/>
      <c r="J53" s="54"/>
      <c r="K53" s="54"/>
      <c r="L53" s="9">
        <f t="shared" si="7"/>
        <v>250000</v>
      </c>
      <c r="M53" s="55"/>
      <c r="N53" s="9">
        <f t="shared" si="6"/>
        <v>250000</v>
      </c>
      <c r="O53" s="53"/>
      <c r="P53" s="4" t="str">
        <f t="shared" si="9"/>
        <v/>
      </c>
      <c r="Q53" s="17" t="str">
        <f t="shared" si="8"/>
        <v/>
      </c>
    </row>
    <row r="54" spans="1:17" x14ac:dyDescent="0.25">
      <c r="A54" s="49"/>
      <c r="B54" s="50"/>
      <c r="C54" s="50"/>
      <c r="D54" s="8"/>
      <c r="E54" s="51"/>
      <c r="F54" s="52"/>
      <c r="G54" s="53"/>
      <c r="H54" s="54"/>
      <c r="I54" s="53"/>
      <c r="J54" s="54"/>
      <c r="K54" s="54"/>
      <c r="L54" s="9">
        <f t="shared" si="7"/>
        <v>250000</v>
      </c>
      <c r="M54" s="55"/>
      <c r="N54" s="9">
        <f t="shared" si="6"/>
        <v>250000</v>
      </c>
      <c r="O54" s="53"/>
      <c r="P54" s="4" t="str">
        <f t="shared" si="9"/>
        <v/>
      </c>
      <c r="Q54" s="17" t="str">
        <f t="shared" si="8"/>
        <v/>
      </c>
    </row>
    <row r="55" spans="1:17" x14ac:dyDescent="0.25">
      <c r="A55" s="49"/>
      <c r="B55" s="50"/>
      <c r="C55" s="50"/>
      <c r="D55" s="8"/>
      <c r="E55" s="51"/>
      <c r="F55" s="52"/>
      <c r="G55" s="53"/>
      <c r="H55" s="54"/>
      <c r="I55" s="53"/>
      <c r="J55" s="54"/>
      <c r="K55" s="54"/>
      <c r="L55" s="9">
        <f t="shared" si="7"/>
        <v>250000</v>
      </c>
      <c r="M55" s="55"/>
      <c r="N55" s="9">
        <f t="shared" si="6"/>
        <v>250000</v>
      </c>
      <c r="O55" s="53"/>
      <c r="P55" s="4" t="str">
        <f t="shared" si="9"/>
        <v/>
      </c>
      <c r="Q55" s="17" t="str">
        <f t="shared" si="8"/>
        <v/>
      </c>
    </row>
    <row r="56" spans="1:17" x14ac:dyDescent="0.25">
      <c r="A56" s="49"/>
      <c r="B56" s="50"/>
      <c r="C56" s="50"/>
      <c r="D56" s="8"/>
      <c r="E56" s="51"/>
      <c r="F56" s="52"/>
      <c r="G56" s="53"/>
      <c r="H56" s="54"/>
      <c r="I56" s="53"/>
      <c r="J56" s="54"/>
      <c r="K56" s="54"/>
      <c r="L56" s="9">
        <f t="shared" si="7"/>
        <v>250000</v>
      </c>
      <c r="M56" s="55"/>
      <c r="N56" s="9">
        <f t="shared" si="6"/>
        <v>250000</v>
      </c>
      <c r="O56" s="53"/>
      <c r="P56" s="4" t="str">
        <f t="shared" si="9"/>
        <v/>
      </c>
      <c r="Q56" s="17" t="str">
        <f t="shared" si="8"/>
        <v/>
      </c>
    </row>
    <row r="57" spans="1:17" x14ac:dyDescent="0.25">
      <c r="A57" s="49"/>
      <c r="B57" s="50"/>
      <c r="C57" s="50"/>
      <c r="D57" s="8"/>
      <c r="E57" s="51"/>
      <c r="F57" s="52"/>
      <c r="G57" s="53"/>
      <c r="H57" s="54"/>
      <c r="I57" s="53"/>
      <c r="J57" s="54"/>
      <c r="K57" s="54"/>
      <c r="L57" s="9">
        <f t="shared" si="7"/>
        <v>250000</v>
      </c>
      <c r="M57" s="55"/>
      <c r="N57" s="9">
        <f t="shared" si="6"/>
        <v>250000</v>
      </c>
      <c r="O57" s="53"/>
      <c r="P57" s="4" t="str">
        <f t="shared" si="9"/>
        <v/>
      </c>
      <c r="Q57" s="17" t="str">
        <f t="shared" si="8"/>
        <v/>
      </c>
    </row>
    <row r="58" spans="1:17" x14ac:dyDescent="0.25">
      <c r="A58" s="49"/>
      <c r="B58" s="50"/>
      <c r="C58" s="50"/>
      <c r="D58" s="8"/>
      <c r="E58" s="51"/>
      <c r="F58" s="52"/>
      <c r="G58" s="53"/>
      <c r="H58" s="54"/>
      <c r="I58" s="53"/>
      <c r="J58" s="54"/>
      <c r="K58" s="54"/>
      <c r="L58" s="9">
        <f t="shared" si="7"/>
        <v>250000</v>
      </c>
      <c r="M58" s="55"/>
      <c r="N58" s="9">
        <f t="shared" si="6"/>
        <v>250000</v>
      </c>
      <c r="O58" s="53"/>
      <c r="P58" s="4" t="str">
        <f t="shared" si="9"/>
        <v/>
      </c>
      <c r="Q58" s="17" t="str">
        <f t="shared" si="8"/>
        <v/>
      </c>
    </row>
    <row r="59" spans="1:17" x14ac:dyDescent="0.25">
      <c r="A59" s="49"/>
      <c r="B59" s="50"/>
      <c r="C59" s="50"/>
      <c r="D59" s="8"/>
      <c r="E59" s="51"/>
      <c r="F59" s="52"/>
      <c r="G59" s="53"/>
      <c r="H59" s="54"/>
      <c r="I59" s="53"/>
      <c r="J59" s="54"/>
      <c r="K59" s="54"/>
      <c r="L59" s="9">
        <f t="shared" si="7"/>
        <v>250000</v>
      </c>
      <c r="M59" s="55"/>
      <c r="N59" s="9">
        <f t="shared" si="6"/>
        <v>250000</v>
      </c>
      <c r="O59" s="53"/>
      <c r="P59" s="4" t="str">
        <f t="shared" si="9"/>
        <v/>
      </c>
      <c r="Q59" s="17" t="str">
        <f t="shared" si="8"/>
        <v/>
      </c>
    </row>
    <row r="60" spans="1:17" x14ac:dyDescent="0.25">
      <c r="A60" s="49"/>
      <c r="B60" s="50"/>
      <c r="C60" s="50"/>
      <c r="D60" s="8"/>
      <c r="E60" s="51"/>
      <c r="F60" s="52"/>
      <c r="G60" s="53"/>
      <c r="H60" s="54"/>
      <c r="I60" s="53"/>
      <c r="J60" s="54"/>
      <c r="K60" s="54"/>
      <c r="L60" s="9">
        <f t="shared" si="7"/>
        <v>250000</v>
      </c>
      <c r="M60" s="55"/>
      <c r="N60" s="9">
        <f t="shared" si="6"/>
        <v>250000</v>
      </c>
      <c r="O60" s="53"/>
      <c r="P60" s="4" t="str">
        <f t="shared" si="9"/>
        <v/>
      </c>
      <c r="Q60" s="17" t="str">
        <f t="shared" si="8"/>
        <v/>
      </c>
    </row>
    <row r="61" spans="1:17" x14ac:dyDescent="0.25">
      <c r="A61" s="49"/>
      <c r="B61" s="50"/>
      <c r="C61" s="50"/>
      <c r="D61" s="8"/>
      <c r="E61" s="51"/>
      <c r="F61" s="52"/>
      <c r="G61" s="53"/>
      <c r="H61" s="54"/>
      <c r="I61" s="53"/>
      <c r="J61" s="54"/>
      <c r="K61" s="54"/>
      <c r="L61" s="9">
        <f t="shared" si="7"/>
        <v>250000</v>
      </c>
      <c r="M61" s="55"/>
      <c r="N61" s="9">
        <f t="shared" ref="N61:N92" si="10">L61-M61</f>
        <v>250000</v>
      </c>
      <c r="O61" s="53"/>
      <c r="P61" s="4" t="str">
        <f t="shared" si="9"/>
        <v/>
      </c>
      <c r="Q61" s="17" t="str">
        <f t="shared" si="8"/>
        <v/>
      </c>
    </row>
    <row r="62" spans="1:17" x14ac:dyDescent="0.25">
      <c r="A62" s="49"/>
      <c r="B62" s="50"/>
      <c r="C62" s="50"/>
      <c r="D62" s="8"/>
      <c r="E62" s="51"/>
      <c r="F62" s="52"/>
      <c r="G62" s="53"/>
      <c r="H62" s="54"/>
      <c r="I62" s="53"/>
      <c r="J62" s="54"/>
      <c r="K62" s="54"/>
      <c r="L62" s="9">
        <f t="shared" si="7"/>
        <v>250000</v>
      </c>
      <c r="M62" s="55"/>
      <c r="N62" s="9">
        <f t="shared" si="10"/>
        <v>250000</v>
      </c>
      <c r="O62" s="53"/>
      <c r="P62" s="4" t="str">
        <f t="shared" si="9"/>
        <v/>
      </c>
      <c r="Q62" s="17" t="str">
        <f t="shared" si="8"/>
        <v/>
      </c>
    </row>
    <row r="63" spans="1:17" x14ac:dyDescent="0.25">
      <c r="A63" s="49"/>
      <c r="B63" s="50"/>
      <c r="C63" s="50"/>
      <c r="D63" s="8"/>
      <c r="E63" s="51"/>
      <c r="F63" s="52"/>
      <c r="G63" s="53"/>
      <c r="H63" s="54"/>
      <c r="I63" s="53"/>
      <c r="J63" s="54"/>
      <c r="K63" s="54"/>
      <c r="L63" s="9">
        <f t="shared" si="7"/>
        <v>250000</v>
      </c>
      <c r="M63" s="55"/>
      <c r="N63" s="9">
        <f t="shared" si="10"/>
        <v>250000</v>
      </c>
      <c r="O63" s="53"/>
      <c r="P63" s="4" t="str">
        <f t="shared" si="9"/>
        <v/>
      </c>
      <c r="Q63" s="17" t="str">
        <f t="shared" si="8"/>
        <v/>
      </c>
    </row>
    <row r="64" spans="1:17" x14ac:dyDescent="0.25">
      <c r="A64" s="49"/>
      <c r="B64" s="50"/>
      <c r="C64" s="50"/>
      <c r="D64" s="8"/>
      <c r="E64" s="51"/>
      <c r="F64" s="52"/>
      <c r="G64" s="53"/>
      <c r="H64" s="54"/>
      <c r="I64" s="53"/>
      <c r="J64" s="54"/>
      <c r="K64" s="54"/>
      <c r="L64" s="9">
        <f t="shared" si="7"/>
        <v>250000</v>
      </c>
      <c r="M64" s="55"/>
      <c r="N64" s="9">
        <f t="shared" si="10"/>
        <v>250000</v>
      </c>
      <c r="O64" s="53"/>
      <c r="P64" s="4" t="str">
        <f t="shared" si="9"/>
        <v/>
      </c>
      <c r="Q64" s="17" t="str">
        <f t="shared" si="8"/>
        <v/>
      </c>
    </row>
    <row r="65" spans="1:17" x14ac:dyDescent="0.25">
      <c r="A65" s="49"/>
      <c r="B65" s="50"/>
      <c r="C65" s="50"/>
      <c r="D65" s="8"/>
      <c r="E65" s="51"/>
      <c r="F65" s="52"/>
      <c r="G65" s="53"/>
      <c r="H65" s="54"/>
      <c r="I65" s="53"/>
      <c r="J65" s="54"/>
      <c r="K65" s="54"/>
      <c r="L65" s="9">
        <f t="shared" si="7"/>
        <v>250000</v>
      </c>
      <c r="M65" s="55"/>
      <c r="N65" s="9">
        <f t="shared" si="10"/>
        <v>250000</v>
      </c>
      <c r="O65" s="53"/>
      <c r="P65" s="4" t="str">
        <f t="shared" si="9"/>
        <v/>
      </c>
      <c r="Q65" s="17" t="str">
        <f t="shared" si="8"/>
        <v/>
      </c>
    </row>
    <row r="66" spans="1:17" x14ac:dyDescent="0.25">
      <c r="A66" s="49"/>
      <c r="B66" s="50"/>
      <c r="C66" s="50"/>
      <c r="D66" s="8"/>
      <c r="E66" s="51"/>
      <c r="F66" s="52"/>
      <c r="G66" s="53"/>
      <c r="H66" s="54"/>
      <c r="I66" s="53"/>
      <c r="J66" s="54"/>
      <c r="K66" s="54"/>
      <c r="L66" s="9">
        <f t="shared" si="7"/>
        <v>250000</v>
      </c>
      <c r="M66" s="55"/>
      <c r="N66" s="9">
        <f t="shared" si="10"/>
        <v>250000</v>
      </c>
      <c r="O66" s="53"/>
      <c r="P66" s="4" t="str">
        <f t="shared" si="9"/>
        <v/>
      </c>
      <c r="Q66" s="17" t="str">
        <f t="shared" si="8"/>
        <v/>
      </c>
    </row>
    <row r="67" spans="1:17" x14ac:dyDescent="0.25">
      <c r="A67" s="49"/>
      <c r="B67" s="50"/>
      <c r="C67" s="50"/>
      <c r="D67" s="8"/>
      <c r="E67" s="51"/>
      <c r="F67" s="52"/>
      <c r="G67" s="53"/>
      <c r="H67" s="54"/>
      <c r="I67" s="53"/>
      <c r="J67" s="54"/>
      <c r="K67" s="54"/>
      <c r="L67" s="9">
        <f t="shared" si="7"/>
        <v>250000</v>
      </c>
      <c r="M67" s="55"/>
      <c r="N67" s="9">
        <f t="shared" si="10"/>
        <v>250000</v>
      </c>
      <c r="O67" s="53"/>
      <c r="P67" s="4" t="str">
        <f t="shared" si="9"/>
        <v/>
      </c>
      <c r="Q67" s="17" t="str">
        <f t="shared" si="8"/>
        <v/>
      </c>
    </row>
    <row r="68" spans="1:17" x14ac:dyDescent="0.25">
      <c r="A68" s="49"/>
      <c r="B68" s="50"/>
      <c r="C68" s="50"/>
      <c r="D68" s="8"/>
      <c r="E68" s="51"/>
      <c r="F68" s="52"/>
      <c r="G68" s="53"/>
      <c r="H68" s="54"/>
      <c r="I68" s="53"/>
      <c r="J68" s="54"/>
      <c r="K68" s="54"/>
      <c r="L68" s="9">
        <f t="shared" si="7"/>
        <v>250000</v>
      </c>
      <c r="M68" s="55"/>
      <c r="N68" s="9">
        <f t="shared" si="10"/>
        <v>250000</v>
      </c>
      <c r="O68" s="53"/>
      <c r="P68" s="4" t="str">
        <f t="shared" si="9"/>
        <v/>
      </c>
      <c r="Q68" s="17" t="str">
        <f t="shared" si="8"/>
        <v/>
      </c>
    </row>
    <row r="69" spans="1:17" x14ac:dyDescent="0.25">
      <c r="A69" s="49"/>
      <c r="B69" s="50"/>
      <c r="C69" s="50"/>
      <c r="D69" s="8"/>
      <c r="E69" s="51"/>
      <c r="F69" s="52"/>
      <c r="G69" s="53"/>
      <c r="H69" s="54"/>
      <c r="I69" s="53"/>
      <c r="J69" s="54"/>
      <c r="K69" s="54"/>
      <c r="L69" s="9">
        <f t="shared" si="7"/>
        <v>250000</v>
      </c>
      <c r="M69" s="55"/>
      <c r="N69" s="9">
        <f t="shared" si="10"/>
        <v>250000</v>
      </c>
      <c r="O69" s="53"/>
      <c r="P69" s="4" t="str">
        <f t="shared" si="9"/>
        <v/>
      </c>
      <c r="Q69" s="17" t="str">
        <f t="shared" si="8"/>
        <v/>
      </c>
    </row>
    <row r="70" spans="1:17" x14ac:dyDescent="0.25">
      <c r="A70" s="49"/>
      <c r="B70" s="50"/>
      <c r="C70" s="50"/>
      <c r="D70" s="8"/>
      <c r="E70" s="51"/>
      <c r="F70" s="52"/>
      <c r="G70" s="53"/>
      <c r="H70" s="54"/>
      <c r="I70" s="53"/>
      <c r="J70" s="54"/>
      <c r="K70" s="54"/>
      <c r="L70" s="9">
        <f t="shared" si="7"/>
        <v>250000</v>
      </c>
      <c r="M70" s="55"/>
      <c r="N70" s="9">
        <f t="shared" si="10"/>
        <v>250000</v>
      </c>
      <c r="O70" s="53"/>
      <c r="P70" s="4" t="str">
        <f t="shared" si="9"/>
        <v/>
      </c>
      <c r="Q70" s="17" t="str">
        <f t="shared" si="8"/>
        <v/>
      </c>
    </row>
    <row r="71" spans="1:17" x14ac:dyDescent="0.25">
      <c r="A71" s="49"/>
      <c r="B71" s="50"/>
      <c r="C71" s="50"/>
      <c r="D71" s="8"/>
      <c r="E71" s="51"/>
      <c r="F71" s="52"/>
      <c r="G71" s="53"/>
      <c r="H71" s="54"/>
      <c r="I71" s="53"/>
      <c r="J71" s="54"/>
      <c r="K71" s="54"/>
      <c r="L71" s="9">
        <f t="shared" ref="L71:L102" si="11">IF(G71="Cameroun", 75000, IF(OR(G71="Gabon", G71="Congo (RDC)", G71="Congo", G71="Tchad", G71="RCA", G71="Guinée Équatoriale"), 150000, IF(G71&lt;&gt;"", 200000, 250000)))</f>
        <v>250000</v>
      </c>
      <c r="M71" s="55"/>
      <c r="N71" s="9">
        <f t="shared" si="10"/>
        <v>250000</v>
      </c>
      <c r="O71" s="53"/>
      <c r="P71" s="4" t="str">
        <f t="shared" ref="P71:P102" si="12">IF(B73="","","Bonjour "&amp;A73&amp;",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71" s="17" t="str">
        <f t="shared" ref="Q71:Q102" si="13">IF(B71="","","https://wa.me/"&amp;SUBSTITUTE(SUBSTITUTE(SUBSTITUTE(B71,"+","")," ",""),"-","")&amp;"?text="&amp;SUBSTITUTE(P71," ","%20"))</f>
        <v/>
      </c>
    </row>
    <row r="72" spans="1:17" x14ac:dyDescent="0.25">
      <c r="A72" s="49"/>
      <c r="B72" s="50"/>
      <c r="C72" s="50"/>
      <c r="D72" s="8"/>
      <c r="E72" s="51"/>
      <c r="F72" s="52"/>
      <c r="G72" s="53"/>
      <c r="H72" s="54"/>
      <c r="I72" s="53"/>
      <c r="J72" s="54"/>
      <c r="K72" s="54"/>
      <c r="L72" s="9">
        <f t="shared" si="11"/>
        <v>250000</v>
      </c>
      <c r="M72" s="55"/>
      <c r="N72" s="9">
        <f t="shared" si="10"/>
        <v>250000</v>
      </c>
      <c r="O72" s="53"/>
      <c r="P72" s="4" t="str">
        <f t="shared" si="12"/>
        <v/>
      </c>
      <c r="Q72" s="17" t="str">
        <f t="shared" si="13"/>
        <v/>
      </c>
    </row>
    <row r="73" spans="1:17" x14ac:dyDescent="0.25">
      <c r="A73" s="49"/>
      <c r="B73" s="50"/>
      <c r="C73" s="50"/>
      <c r="D73" s="8"/>
      <c r="E73" s="51"/>
      <c r="F73" s="52"/>
      <c r="G73" s="53"/>
      <c r="H73" s="54"/>
      <c r="I73" s="53"/>
      <c r="J73" s="54"/>
      <c r="K73" s="54"/>
      <c r="L73" s="9">
        <f t="shared" si="11"/>
        <v>250000</v>
      </c>
      <c r="M73" s="55"/>
      <c r="N73" s="9">
        <f t="shared" si="10"/>
        <v>250000</v>
      </c>
      <c r="O73" s="53"/>
      <c r="P73" s="4" t="str">
        <f t="shared" si="12"/>
        <v/>
      </c>
      <c r="Q73" s="17" t="str">
        <f t="shared" si="13"/>
        <v/>
      </c>
    </row>
    <row r="74" spans="1:17" x14ac:dyDescent="0.25">
      <c r="A74" s="49"/>
      <c r="B74" s="50"/>
      <c r="C74" s="50"/>
      <c r="D74" s="8"/>
      <c r="E74" s="51"/>
      <c r="F74" s="52"/>
      <c r="G74" s="53"/>
      <c r="H74" s="54"/>
      <c r="I74" s="53"/>
      <c r="J74" s="54"/>
      <c r="K74" s="54"/>
      <c r="L74" s="9">
        <f t="shared" si="11"/>
        <v>250000</v>
      </c>
      <c r="M74" s="55"/>
      <c r="N74" s="9">
        <f t="shared" si="10"/>
        <v>250000</v>
      </c>
      <c r="O74" s="53"/>
      <c r="P74" s="4" t="str">
        <f t="shared" si="12"/>
        <v/>
      </c>
      <c r="Q74" s="17" t="str">
        <f t="shared" si="13"/>
        <v/>
      </c>
    </row>
    <row r="75" spans="1:17" x14ac:dyDescent="0.25">
      <c r="A75" s="49"/>
      <c r="B75" s="50"/>
      <c r="C75" s="50"/>
      <c r="D75" s="8"/>
      <c r="E75" s="51"/>
      <c r="F75" s="52"/>
      <c r="G75" s="53"/>
      <c r="H75" s="54"/>
      <c r="I75" s="53"/>
      <c r="J75" s="54"/>
      <c r="K75" s="54"/>
      <c r="L75" s="9">
        <f t="shared" si="11"/>
        <v>250000</v>
      </c>
      <c r="M75" s="55"/>
      <c r="N75" s="9">
        <f t="shared" si="10"/>
        <v>250000</v>
      </c>
      <c r="O75" s="53"/>
      <c r="P75" s="4" t="str">
        <f t="shared" si="12"/>
        <v/>
      </c>
      <c r="Q75" s="17" t="str">
        <f t="shared" si="13"/>
        <v/>
      </c>
    </row>
    <row r="76" spans="1:17" x14ac:dyDescent="0.25">
      <c r="A76" s="49"/>
      <c r="B76" s="50"/>
      <c r="C76" s="50"/>
      <c r="D76" s="8"/>
      <c r="E76" s="51"/>
      <c r="F76" s="52"/>
      <c r="G76" s="53"/>
      <c r="H76" s="54"/>
      <c r="I76" s="53"/>
      <c r="J76" s="54"/>
      <c r="K76" s="54"/>
      <c r="L76" s="9">
        <f t="shared" si="11"/>
        <v>250000</v>
      </c>
      <c r="M76" s="55"/>
      <c r="N76" s="9">
        <f t="shared" si="10"/>
        <v>250000</v>
      </c>
      <c r="O76" s="53"/>
      <c r="P76" s="4" t="str">
        <f t="shared" si="12"/>
        <v/>
      </c>
      <c r="Q76" s="17" t="str">
        <f t="shared" si="13"/>
        <v/>
      </c>
    </row>
    <row r="77" spans="1:17" x14ac:dyDescent="0.25">
      <c r="A77" s="49"/>
      <c r="B77" s="50"/>
      <c r="C77" s="50"/>
      <c r="D77" s="8"/>
      <c r="E77" s="51"/>
      <c r="F77" s="52"/>
      <c r="G77" s="53"/>
      <c r="H77" s="54"/>
      <c r="I77" s="53"/>
      <c r="J77" s="54"/>
      <c r="K77" s="54"/>
      <c r="L77" s="9">
        <f t="shared" si="11"/>
        <v>250000</v>
      </c>
      <c r="M77" s="55"/>
      <c r="N77" s="9">
        <f t="shared" si="10"/>
        <v>250000</v>
      </c>
      <c r="O77" s="53"/>
      <c r="P77" s="4" t="str">
        <f t="shared" si="12"/>
        <v/>
      </c>
      <c r="Q77" s="17" t="str">
        <f t="shared" si="13"/>
        <v/>
      </c>
    </row>
    <row r="78" spans="1:17" x14ac:dyDescent="0.25">
      <c r="A78" s="49"/>
      <c r="B78" s="50"/>
      <c r="C78" s="50"/>
      <c r="D78" s="8"/>
      <c r="E78" s="51"/>
      <c r="F78" s="52"/>
      <c r="G78" s="53"/>
      <c r="H78" s="54"/>
      <c r="I78" s="53"/>
      <c r="J78" s="54"/>
      <c r="K78" s="54"/>
      <c r="L78" s="9">
        <f t="shared" si="11"/>
        <v>250000</v>
      </c>
      <c r="M78" s="55"/>
      <c r="N78" s="9">
        <f t="shared" si="10"/>
        <v>250000</v>
      </c>
      <c r="O78" s="53"/>
      <c r="P78" s="4" t="str">
        <f t="shared" si="12"/>
        <v/>
      </c>
      <c r="Q78" s="17" t="str">
        <f t="shared" si="13"/>
        <v/>
      </c>
    </row>
    <row r="79" spans="1:17" x14ac:dyDescent="0.25">
      <c r="A79" s="49"/>
      <c r="B79" s="50"/>
      <c r="C79" s="50"/>
      <c r="D79" s="8"/>
      <c r="E79" s="51"/>
      <c r="F79" s="52"/>
      <c r="G79" s="53"/>
      <c r="H79" s="54"/>
      <c r="I79" s="53"/>
      <c r="J79" s="54"/>
      <c r="K79" s="54"/>
      <c r="L79" s="9">
        <f t="shared" si="11"/>
        <v>250000</v>
      </c>
      <c r="M79" s="55"/>
      <c r="N79" s="9">
        <f t="shared" si="10"/>
        <v>250000</v>
      </c>
      <c r="O79" s="53"/>
      <c r="P79" s="4" t="str">
        <f t="shared" si="12"/>
        <v/>
      </c>
      <c r="Q79" s="17" t="str">
        <f t="shared" si="13"/>
        <v/>
      </c>
    </row>
    <row r="80" spans="1:17" x14ac:dyDescent="0.25">
      <c r="A80" s="49"/>
      <c r="B80" s="50"/>
      <c r="C80" s="50"/>
      <c r="D80" s="8"/>
      <c r="E80" s="51"/>
      <c r="F80" s="52"/>
      <c r="G80" s="53"/>
      <c r="H80" s="54"/>
      <c r="I80" s="53"/>
      <c r="J80" s="54"/>
      <c r="K80" s="54"/>
      <c r="L80" s="9">
        <f t="shared" si="11"/>
        <v>250000</v>
      </c>
      <c r="M80" s="55"/>
      <c r="N80" s="9">
        <f t="shared" si="10"/>
        <v>250000</v>
      </c>
      <c r="O80" s="53"/>
      <c r="P80" s="4" t="str">
        <f t="shared" si="12"/>
        <v/>
      </c>
      <c r="Q80" s="17" t="str">
        <f t="shared" si="13"/>
        <v/>
      </c>
    </row>
    <row r="81" spans="1:17" x14ac:dyDescent="0.25">
      <c r="A81" s="49"/>
      <c r="B81" s="50"/>
      <c r="C81" s="50"/>
      <c r="D81" s="8"/>
      <c r="E81" s="51"/>
      <c r="F81" s="52"/>
      <c r="G81" s="53"/>
      <c r="H81" s="54"/>
      <c r="I81" s="53"/>
      <c r="J81" s="54"/>
      <c r="K81" s="54"/>
      <c r="L81" s="9">
        <f t="shared" si="11"/>
        <v>250000</v>
      </c>
      <c r="M81" s="55"/>
      <c r="N81" s="9">
        <f t="shared" si="10"/>
        <v>250000</v>
      </c>
      <c r="O81" s="53"/>
      <c r="P81" s="4" t="str">
        <f t="shared" si="12"/>
        <v/>
      </c>
      <c r="Q81" s="17" t="str">
        <f t="shared" si="13"/>
        <v/>
      </c>
    </row>
    <row r="82" spans="1:17" x14ac:dyDescent="0.25">
      <c r="A82" s="49"/>
      <c r="B82" s="50"/>
      <c r="C82" s="50"/>
      <c r="D82" s="8"/>
      <c r="E82" s="51"/>
      <c r="F82" s="52"/>
      <c r="G82" s="53"/>
      <c r="H82" s="54"/>
      <c r="I82" s="53"/>
      <c r="J82" s="54"/>
      <c r="K82" s="54"/>
      <c r="L82" s="9">
        <f t="shared" si="11"/>
        <v>250000</v>
      </c>
      <c r="M82" s="55"/>
      <c r="N82" s="9">
        <f t="shared" si="10"/>
        <v>250000</v>
      </c>
      <c r="O82" s="53"/>
      <c r="P82" s="4" t="str">
        <f t="shared" si="12"/>
        <v/>
      </c>
      <c r="Q82" s="17" t="str">
        <f t="shared" si="13"/>
        <v/>
      </c>
    </row>
    <row r="83" spans="1:17" x14ac:dyDescent="0.25">
      <c r="A83" s="49"/>
      <c r="B83" s="50"/>
      <c r="C83" s="50"/>
      <c r="D83" s="8"/>
      <c r="E83" s="51"/>
      <c r="F83" s="52"/>
      <c r="G83" s="53"/>
      <c r="H83" s="54"/>
      <c r="I83" s="53"/>
      <c r="J83" s="54"/>
      <c r="K83" s="54"/>
      <c r="L83" s="9">
        <f t="shared" si="11"/>
        <v>250000</v>
      </c>
      <c r="M83" s="55"/>
      <c r="N83" s="9">
        <f t="shared" si="10"/>
        <v>250000</v>
      </c>
      <c r="O83" s="53"/>
      <c r="P83" s="4" t="str">
        <f t="shared" si="12"/>
        <v/>
      </c>
      <c r="Q83" s="17" t="str">
        <f t="shared" si="13"/>
        <v/>
      </c>
    </row>
    <row r="84" spans="1:17" x14ac:dyDescent="0.25">
      <c r="A84" s="49"/>
      <c r="B84" s="50"/>
      <c r="C84" s="50"/>
      <c r="D84" s="8"/>
      <c r="E84" s="51"/>
      <c r="F84" s="52"/>
      <c r="G84" s="53"/>
      <c r="H84" s="54"/>
      <c r="I84" s="53"/>
      <c r="J84" s="54"/>
      <c r="K84" s="54"/>
      <c r="L84" s="9">
        <f t="shared" si="11"/>
        <v>250000</v>
      </c>
      <c r="M84" s="55"/>
      <c r="N84" s="9">
        <f t="shared" si="10"/>
        <v>250000</v>
      </c>
      <c r="O84" s="53"/>
      <c r="P84" s="4" t="str">
        <f t="shared" si="12"/>
        <v/>
      </c>
      <c r="Q84" s="17" t="str">
        <f t="shared" si="13"/>
        <v/>
      </c>
    </row>
    <row r="85" spans="1:17" x14ac:dyDescent="0.25">
      <c r="A85" s="49"/>
      <c r="B85" s="50"/>
      <c r="C85" s="50"/>
      <c r="D85" s="8"/>
      <c r="E85" s="51"/>
      <c r="F85" s="52"/>
      <c r="G85" s="53"/>
      <c r="H85" s="54"/>
      <c r="I85" s="53"/>
      <c r="J85" s="54"/>
      <c r="K85" s="54"/>
      <c r="L85" s="9">
        <f t="shared" si="11"/>
        <v>250000</v>
      </c>
      <c r="M85" s="55"/>
      <c r="N85" s="9">
        <f t="shared" si="10"/>
        <v>250000</v>
      </c>
      <c r="O85" s="53"/>
      <c r="P85" s="4" t="str">
        <f t="shared" si="12"/>
        <v/>
      </c>
      <c r="Q85" s="17" t="str">
        <f t="shared" si="13"/>
        <v/>
      </c>
    </row>
    <row r="86" spans="1:17" x14ac:dyDescent="0.25">
      <c r="A86" s="49"/>
      <c r="B86" s="50"/>
      <c r="C86" s="50"/>
      <c r="D86" s="8"/>
      <c r="E86" s="51"/>
      <c r="F86" s="52"/>
      <c r="G86" s="53"/>
      <c r="H86" s="54"/>
      <c r="I86" s="53"/>
      <c r="J86" s="54"/>
      <c r="K86" s="54"/>
      <c r="L86" s="9">
        <f t="shared" si="11"/>
        <v>250000</v>
      </c>
      <c r="M86" s="55"/>
      <c r="N86" s="9">
        <f t="shared" si="10"/>
        <v>250000</v>
      </c>
      <c r="O86" s="53"/>
      <c r="P86" s="4" t="str">
        <f t="shared" si="12"/>
        <v/>
      </c>
      <c r="Q86" s="17" t="str">
        <f t="shared" si="13"/>
        <v/>
      </c>
    </row>
    <row r="87" spans="1:17" x14ac:dyDescent="0.25">
      <c r="A87" s="49"/>
      <c r="B87" s="50"/>
      <c r="C87" s="50"/>
      <c r="D87" s="8"/>
      <c r="E87" s="51"/>
      <c r="F87" s="52"/>
      <c r="G87" s="53"/>
      <c r="H87" s="54"/>
      <c r="I87" s="53"/>
      <c r="J87" s="54"/>
      <c r="K87" s="54"/>
      <c r="L87" s="9">
        <f t="shared" si="11"/>
        <v>250000</v>
      </c>
      <c r="M87" s="55"/>
      <c r="N87" s="9">
        <f t="shared" si="10"/>
        <v>250000</v>
      </c>
      <c r="O87" s="53"/>
      <c r="P87" s="4" t="str">
        <f t="shared" si="12"/>
        <v/>
      </c>
      <c r="Q87" s="17" t="str">
        <f t="shared" si="13"/>
        <v/>
      </c>
    </row>
    <row r="88" spans="1:17" x14ac:dyDescent="0.25">
      <c r="A88" s="49"/>
      <c r="B88" s="50"/>
      <c r="C88" s="50"/>
      <c r="D88" s="8"/>
      <c r="E88" s="51"/>
      <c r="F88" s="52"/>
      <c r="G88" s="53"/>
      <c r="H88" s="54"/>
      <c r="I88" s="53"/>
      <c r="J88" s="54"/>
      <c r="K88" s="54"/>
      <c r="L88" s="9">
        <f t="shared" si="11"/>
        <v>250000</v>
      </c>
      <c r="M88" s="55"/>
      <c r="N88" s="9">
        <f t="shared" si="10"/>
        <v>250000</v>
      </c>
      <c r="O88" s="53"/>
      <c r="P88" s="4" t="str">
        <f t="shared" si="12"/>
        <v/>
      </c>
      <c r="Q88" s="17" t="str">
        <f t="shared" si="13"/>
        <v/>
      </c>
    </row>
    <row r="89" spans="1:17" x14ac:dyDescent="0.25">
      <c r="A89" s="49"/>
      <c r="B89" s="50"/>
      <c r="C89" s="50"/>
      <c r="D89" s="8"/>
      <c r="E89" s="51"/>
      <c r="F89" s="52"/>
      <c r="G89" s="53"/>
      <c r="H89" s="54"/>
      <c r="I89" s="53"/>
      <c r="J89" s="54"/>
      <c r="K89" s="54"/>
      <c r="L89" s="9">
        <f t="shared" si="11"/>
        <v>250000</v>
      </c>
      <c r="M89" s="55"/>
      <c r="N89" s="9">
        <f t="shared" si="10"/>
        <v>250000</v>
      </c>
      <c r="O89" s="53"/>
      <c r="P89" s="4" t="str">
        <f t="shared" si="12"/>
        <v/>
      </c>
      <c r="Q89" s="17" t="str">
        <f t="shared" si="13"/>
        <v/>
      </c>
    </row>
    <row r="90" spans="1:17" x14ac:dyDescent="0.25">
      <c r="A90" s="49"/>
      <c r="B90" s="50"/>
      <c r="C90" s="50"/>
      <c r="D90" s="8"/>
      <c r="E90" s="51"/>
      <c r="F90" s="52"/>
      <c r="G90" s="53"/>
      <c r="H90" s="54"/>
      <c r="I90" s="53"/>
      <c r="J90" s="54"/>
      <c r="K90" s="54"/>
      <c r="L90" s="9">
        <f t="shared" si="11"/>
        <v>250000</v>
      </c>
      <c r="M90" s="55"/>
      <c r="N90" s="9">
        <f t="shared" si="10"/>
        <v>250000</v>
      </c>
      <c r="O90" s="53"/>
      <c r="P90" s="4" t="str">
        <f t="shared" si="12"/>
        <v/>
      </c>
      <c r="Q90" s="17" t="str">
        <f t="shared" si="13"/>
        <v/>
      </c>
    </row>
    <row r="91" spans="1:17" x14ac:dyDescent="0.25">
      <c r="A91" s="49"/>
      <c r="B91" s="50"/>
      <c r="C91" s="50"/>
      <c r="D91" s="8"/>
      <c r="E91" s="51"/>
      <c r="F91" s="52"/>
      <c r="G91" s="53"/>
      <c r="H91" s="54"/>
      <c r="I91" s="53"/>
      <c r="J91" s="54"/>
      <c r="K91" s="54"/>
      <c r="L91" s="9">
        <f t="shared" si="11"/>
        <v>250000</v>
      </c>
      <c r="M91" s="55"/>
      <c r="N91" s="9">
        <f t="shared" si="10"/>
        <v>250000</v>
      </c>
      <c r="O91" s="53"/>
      <c r="P91" s="4" t="str">
        <f t="shared" si="12"/>
        <v/>
      </c>
      <c r="Q91" s="17" t="str">
        <f t="shared" si="13"/>
        <v/>
      </c>
    </row>
    <row r="92" spans="1:17" x14ac:dyDescent="0.25">
      <c r="A92" s="49"/>
      <c r="B92" s="50"/>
      <c r="C92" s="50"/>
      <c r="D92" s="8"/>
      <c r="E92" s="51"/>
      <c r="F92" s="52"/>
      <c r="G92" s="53"/>
      <c r="H92" s="54"/>
      <c r="I92" s="53"/>
      <c r="J92" s="54"/>
      <c r="K92" s="54"/>
      <c r="L92" s="9">
        <f t="shared" si="11"/>
        <v>250000</v>
      </c>
      <c r="M92" s="55"/>
      <c r="N92" s="9">
        <f t="shared" si="10"/>
        <v>250000</v>
      </c>
      <c r="O92" s="53"/>
      <c r="P92" s="4" t="str">
        <f t="shared" si="12"/>
        <v/>
      </c>
      <c r="Q92" s="17" t="str">
        <f t="shared" si="13"/>
        <v/>
      </c>
    </row>
    <row r="93" spans="1:17" x14ac:dyDescent="0.25">
      <c r="A93" s="49"/>
      <c r="B93" s="50"/>
      <c r="C93" s="50"/>
      <c r="D93" s="8"/>
      <c r="E93" s="51"/>
      <c r="F93" s="52"/>
      <c r="G93" s="53"/>
      <c r="H93" s="54"/>
      <c r="I93" s="53"/>
      <c r="J93" s="54"/>
      <c r="K93" s="54"/>
      <c r="L93" s="9">
        <f t="shared" si="11"/>
        <v>250000</v>
      </c>
      <c r="M93" s="55"/>
      <c r="N93" s="9">
        <f t="shared" ref="N93:N124" si="14">L93-M93</f>
        <v>250000</v>
      </c>
      <c r="O93" s="53"/>
      <c r="P93" s="4" t="str">
        <f t="shared" si="12"/>
        <v/>
      </c>
      <c r="Q93" s="17" t="str">
        <f t="shared" si="13"/>
        <v/>
      </c>
    </row>
    <row r="94" spans="1:17" x14ac:dyDescent="0.25">
      <c r="A94" s="49"/>
      <c r="B94" s="50"/>
      <c r="C94" s="50"/>
      <c r="D94" s="8"/>
      <c r="E94" s="51"/>
      <c r="F94" s="52"/>
      <c r="G94" s="53"/>
      <c r="H94" s="54"/>
      <c r="I94" s="53"/>
      <c r="J94" s="54"/>
      <c r="K94" s="54"/>
      <c r="L94" s="9">
        <f t="shared" si="11"/>
        <v>250000</v>
      </c>
      <c r="M94" s="55"/>
      <c r="N94" s="9">
        <f t="shared" si="14"/>
        <v>250000</v>
      </c>
      <c r="O94" s="53"/>
      <c r="P94" s="4" t="str">
        <f t="shared" si="12"/>
        <v/>
      </c>
      <c r="Q94" s="17" t="str">
        <f t="shared" si="13"/>
        <v/>
      </c>
    </row>
    <row r="95" spans="1:17" x14ac:dyDescent="0.25">
      <c r="A95" s="49"/>
      <c r="B95" s="50"/>
      <c r="C95" s="50"/>
      <c r="D95" s="8"/>
      <c r="E95" s="51"/>
      <c r="F95" s="52"/>
      <c r="G95" s="53"/>
      <c r="H95" s="54"/>
      <c r="I95" s="53"/>
      <c r="J95" s="54"/>
      <c r="K95" s="54"/>
      <c r="L95" s="9">
        <f t="shared" si="11"/>
        <v>250000</v>
      </c>
      <c r="M95" s="55"/>
      <c r="N95" s="9">
        <f t="shared" si="14"/>
        <v>250000</v>
      </c>
      <c r="O95" s="53"/>
      <c r="P95" s="4" t="str">
        <f t="shared" si="12"/>
        <v/>
      </c>
      <c r="Q95" s="17" t="str">
        <f t="shared" si="13"/>
        <v/>
      </c>
    </row>
    <row r="96" spans="1:17" x14ac:dyDescent="0.25">
      <c r="A96" s="49"/>
      <c r="B96" s="50"/>
      <c r="C96" s="50"/>
      <c r="D96" s="8"/>
      <c r="E96" s="51"/>
      <c r="F96" s="52"/>
      <c r="G96" s="53"/>
      <c r="H96" s="54"/>
      <c r="I96" s="53"/>
      <c r="J96" s="54"/>
      <c r="K96" s="54"/>
      <c r="L96" s="9">
        <f t="shared" si="11"/>
        <v>250000</v>
      </c>
      <c r="M96" s="55"/>
      <c r="N96" s="9">
        <f t="shared" si="14"/>
        <v>250000</v>
      </c>
      <c r="O96" s="53"/>
      <c r="P96" s="4" t="str">
        <f t="shared" si="12"/>
        <v/>
      </c>
      <c r="Q96" s="17" t="str">
        <f t="shared" si="13"/>
        <v/>
      </c>
    </row>
    <row r="97" spans="1:17" x14ac:dyDescent="0.25">
      <c r="A97" s="49"/>
      <c r="B97" s="50"/>
      <c r="C97" s="50"/>
      <c r="D97" s="8"/>
      <c r="E97" s="51"/>
      <c r="F97" s="52"/>
      <c r="G97" s="53"/>
      <c r="H97" s="54"/>
      <c r="I97" s="53"/>
      <c r="J97" s="54"/>
      <c r="K97" s="54"/>
      <c r="L97" s="9">
        <f t="shared" si="11"/>
        <v>250000</v>
      </c>
      <c r="M97" s="55"/>
      <c r="N97" s="9">
        <f t="shared" si="14"/>
        <v>250000</v>
      </c>
      <c r="O97" s="53"/>
      <c r="P97" s="4" t="str">
        <f t="shared" si="12"/>
        <v/>
      </c>
      <c r="Q97" s="17" t="str">
        <f t="shared" si="13"/>
        <v/>
      </c>
    </row>
    <row r="98" spans="1:17" x14ac:dyDescent="0.25">
      <c r="A98" s="49"/>
      <c r="B98" s="50"/>
      <c r="C98" s="50"/>
      <c r="D98" s="8"/>
      <c r="E98" s="51"/>
      <c r="F98" s="52"/>
      <c r="G98" s="53"/>
      <c r="H98" s="54"/>
      <c r="I98" s="53"/>
      <c r="J98" s="54"/>
      <c r="K98" s="54"/>
      <c r="L98" s="9">
        <f t="shared" si="11"/>
        <v>250000</v>
      </c>
      <c r="M98" s="55"/>
      <c r="N98" s="9">
        <f t="shared" si="14"/>
        <v>250000</v>
      </c>
      <c r="O98" s="53"/>
      <c r="P98" s="4" t="str">
        <f t="shared" si="12"/>
        <v/>
      </c>
      <c r="Q98" s="17" t="str">
        <f t="shared" si="13"/>
        <v/>
      </c>
    </row>
    <row r="99" spans="1:17" x14ac:dyDescent="0.25">
      <c r="A99" s="49"/>
      <c r="B99" s="50"/>
      <c r="C99" s="50"/>
      <c r="D99" s="8"/>
      <c r="E99" s="51"/>
      <c r="F99" s="52"/>
      <c r="G99" s="53"/>
      <c r="H99" s="54"/>
      <c r="I99" s="53"/>
      <c r="J99" s="54"/>
      <c r="K99" s="54"/>
      <c r="L99" s="9">
        <f t="shared" si="11"/>
        <v>250000</v>
      </c>
      <c r="M99" s="55"/>
      <c r="N99" s="9">
        <f t="shared" si="14"/>
        <v>250000</v>
      </c>
      <c r="O99" s="53"/>
      <c r="P99" s="4" t="str">
        <f t="shared" si="12"/>
        <v/>
      </c>
      <c r="Q99" s="17" t="str">
        <f t="shared" si="13"/>
        <v/>
      </c>
    </row>
    <row r="100" spans="1:17" x14ac:dyDescent="0.25">
      <c r="A100" s="49"/>
      <c r="B100" s="50"/>
      <c r="C100" s="50"/>
      <c r="D100" s="8"/>
      <c r="E100" s="51"/>
      <c r="F100" s="52"/>
      <c r="G100" s="53"/>
      <c r="H100" s="54"/>
      <c r="I100" s="53"/>
      <c r="J100" s="54"/>
      <c r="K100" s="54"/>
      <c r="L100" s="9">
        <f t="shared" si="11"/>
        <v>250000</v>
      </c>
      <c r="M100" s="55"/>
      <c r="N100" s="9">
        <f t="shared" si="14"/>
        <v>250000</v>
      </c>
      <c r="O100" s="53"/>
      <c r="P100" s="4" t="str">
        <f t="shared" si="12"/>
        <v/>
      </c>
      <c r="Q100" s="17" t="str">
        <f t="shared" si="13"/>
        <v/>
      </c>
    </row>
    <row r="101" spans="1:17" x14ac:dyDescent="0.25">
      <c r="A101" s="49"/>
      <c r="B101" s="50"/>
      <c r="C101" s="50"/>
      <c r="D101" s="8"/>
      <c r="E101" s="51"/>
      <c r="F101" s="52"/>
      <c r="G101" s="53"/>
      <c r="H101" s="54"/>
      <c r="I101" s="53"/>
      <c r="J101" s="54"/>
      <c r="K101" s="54"/>
      <c r="L101" s="9">
        <f t="shared" si="11"/>
        <v>250000</v>
      </c>
      <c r="M101" s="55"/>
      <c r="N101" s="9">
        <f t="shared" si="14"/>
        <v>250000</v>
      </c>
      <c r="O101" s="53"/>
      <c r="P101" s="4" t="str">
        <f t="shared" si="12"/>
        <v/>
      </c>
      <c r="Q101" s="17" t="str">
        <f t="shared" si="13"/>
        <v/>
      </c>
    </row>
    <row r="102" spans="1:17" x14ac:dyDescent="0.25">
      <c r="A102" s="49"/>
      <c r="B102" s="50"/>
      <c r="C102" s="50"/>
      <c r="D102" s="8"/>
      <c r="E102" s="51"/>
      <c r="F102" s="52"/>
      <c r="G102" s="53"/>
      <c r="H102" s="54"/>
      <c r="I102" s="53"/>
      <c r="J102" s="54"/>
      <c r="K102" s="54"/>
      <c r="L102" s="9">
        <f t="shared" si="11"/>
        <v>250000</v>
      </c>
      <c r="M102" s="55"/>
      <c r="N102" s="9">
        <f t="shared" si="14"/>
        <v>250000</v>
      </c>
      <c r="O102" s="53"/>
      <c r="P102" s="4" t="str">
        <f t="shared" si="12"/>
        <v/>
      </c>
      <c r="Q102" s="17" t="str">
        <f t="shared" si="13"/>
        <v/>
      </c>
    </row>
    <row r="103" spans="1:17" x14ac:dyDescent="0.25">
      <c r="A103" s="49"/>
      <c r="B103" s="50"/>
      <c r="C103" s="50"/>
      <c r="D103" s="8"/>
      <c r="E103" s="51"/>
      <c r="F103" s="52"/>
      <c r="G103" s="53"/>
      <c r="H103" s="54"/>
      <c r="I103" s="53"/>
      <c r="J103" s="54"/>
      <c r="K103" s="54"/>
      <c r="L103" s="9">
        <f t="shared" ref="L103:L134" si="15">IF(G103="Cameroun", 75000, IF(OR(G103="Gabon", G103="Congo (RDC)", G103="Congo", G103="Tchad", G103="RCA", G103="Guinée Équatoriale"), 150000, IF(G103&lt;&gt;"", 200000, 250000)))</f>
        <v>250000</v>
      </c>
      <c r="M103" s="55"/>
      <c r="N103" s="9">
        <f t="shared" si="14"/>
        <v>250000</v>
      </c>
      <c r="O103" s="53"/>
      <c r="P103" s="4" t="str">
        <f t="shared" ref="P103:P134" si="16">IF(B105="","","Bonjour "&amp;A105&amp;",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03" s="17" t="str">
        <f t="shared" ref="Q103:Q134" si="17">IF(B103="","","https://wa.me/"&amp;SUBSTITUTE(SUBSTITUTE(SUBSTITUTE(B103,"+","")," ",""),"-","")&amp;"?text="&amp;SUBSTITUTE(P103," ","%20"))</f>
        <v/>
      </c>
    </row>
    <row r="104" spans="1:17" x14ac:dyDescent="0.25">
      <c r="A104" s="49"/>
      <c r="B104" s="50"/>
      <c r="C104" s="50"/>
      <c r="D104" s="8"/>
      <c r="E104" s="51"/>
      <c r="F104" s="52"/>
      <c r="G104" s="53"/>
      <c r="H104" s="54"/>
      <c r="I104" s="53"/>
      <c r="J104" s="54"/>
      <c r="K104" s="54"/>
      <c r="L104" s="9">
        <f t="shared" si="15"/>
        <v>250000</v>
      </c>
      <c r="M104" s="55"/>
      <c r="N104" s="9">
        <f t="shared" si="14"/>
        <v>250000</v>
      </c>
      <c r="O104" s="53"/>
      <c r="P104" s="4" t="str">
        <f t="shared" si="16"/>
        <v/>
      </c>
      <c r="Q104" s="17" t="str">
        <f t="shared" si="17"/>
        <v/>
      </c>
    </row>
    <row r="105" spans="1:17" x14ac:dyDescent="0.25">
      <c r="A105" s="49"/>
      <c r="B105" s="50"/>
      <c r="C105" s="50"/>
      <c r="D105" s="8"/>
      <c r="E105" s="51"/>
      <c r="F105" s="52"/>
      <c r="G105" s="53"/>
      <c r="H105" s="54"/>
      <c r="I105" s="53"/>
      <c r="J105" s="54"/>
      <c r="K105" s="54"/>
      <c r="L105" s="9">
        <f t="shared" si="15"/>
        <v>250000</v>
      </c>
      <c r="M105" s="55"/>
      <c r="N105" s="9">
        <f t="shared" si="14"/>
        <v>250000</v>
      </c>
      <c r="O105" s="53"/>
      <c r="P105" s="4" t="str">
        <f t="shared" si="16"/>
        <v/>
      </c>
      <c r="Q105" s="17" t="str">
        <f t="shared" si="17"/>
        <v/>
      </c>
    </row>
    <row r="106" spans="1:17" x14ac:dyDescent="0.25">
      <c r="A106" s="49"/>
      <c r="B106" s="50"/>
      <c r="C106" s="50"/>
      <c r="D106" s="8"/>
      <c r="E106" s="51"/>
      <c r="F106" s="52"/>
      <c r="G106" s="53"/>
      <c r="H106" s="54"/>
      <c r="I106" s="53"/>
      <c r="J106" s="54"/>
      <c r="K106" s="54"/>
      <c r="L106" s="9">
        <f t="shared" si="15"/>
        <v>250000</v>
      </c>
      <c r="M106" s="55"/>
      <c r="N106" s="9">
        <f t="shared" si="14"/>
        <v>250000</v>
      </c>
      <c r="O106" s="53"/>
      <c r="P106" s="4" t="str">
        <f t="shared" si="16"/>
        <v/>
      </c>
      <c r="Q106" s="17" t="str">
        <f t="shared" si="17"/>
        <v/>
      </c>
    </row>
    <row r="107" spans="1:17" x14ac:dyDescent="0.25">
      <c r="A107" s="49"/>
      <c r="B107" s="50"/>
      <c r="C107" s="50"/>
      <c r="D107" s="8"/>
      <c r="E107" s="51"/>
      <c r="F107" s="52"/>
      <c r="G107" s="53"/>
      <c r="H107" s="54"/>
      <c r="I107" s="53"/>
      <c r="J107" s="54"/>
      <c r="K107" s="54"/>
      <c r="L107" s="9">
        <f t="shared" si="15"/>
        <v>250000</v>
      </c>
      <c r="M107" s="55"/>
      <c r="N107" s="9">
        <f t="shared" si="14"/>
        <v>250000</v>
      </c>
      <c r="O107" s="53"/>
      <c r="P107" s="4" t="str">
        <f t="shared" si="16"/>
        <v/>
      </c>
      <c r="Q107" s="17" t="str">
        <f t="shared" si="17"/>
        <v/>
      </c>
    </row>
    <row r="108" spans="1:17" x14ac:dyDescent="0.25">
      <c r="A108" s="49"/>
      <c r="B108" s="50"/>
      <c r="C108" s="50"/>
      <c r="D108" s="8"/>
      <c r="E108" s="51"/>
      <c r="F108" s="52"/>
      <c r="G108" s="53"/>
      <c r="H108" s="54"/>
      <c r="I108" s="53"/>
      <c r="J108" s="54"/>
      <c r="K108" s="54"/>
      <c r="L108" s="9">
        <f t="shared" si="15"/>
        <v>250000</v>
      </c>
      <c r="M108" s="55"/>
      <c r="N108" s="9">
        <f t="shared" si="14"/>
        <v>250000</v>
      </c>
      <c r="O108" s="53"/>
      <c r="P108" s="4" t="str">
        <f t="shared" si="16"/>
        <v/>
      </c>
      <c r="Q108" s="17" t="str">
        <f t="shared" si="17"/>
        <v/>
      </c>
    </row>
    <row r="109" spans="1:17" x14ac:dyDescent="0.25">
      <c r="A109" s="49"/>
      <c r="B109" s="50"/>
      <c r="C109" s="50"/>
      <c r="D109" s="8"/>
      <c r="E109" s="51"/>
      <c r="F109" s="52"/>
      <c r="G109" s="53"/>
      <c r="H109" s="54"/>
      <c r="I109" s="53"/>
      <c r="J109" s="54"/>
      <c r="K109" s="54"/>
      <c r="L109" s="9">
        <f t="shared" si="15"/>
        <v>250000</v>
      </c>
      <c r="M109" s="55"/>
      <c r="N109" s="9">
        <f t="shared" si="14"/>
        <v>250000</v>
      </c>
      <c r="O109" s="53"/>
      <c r="P109" s="4" t="str">
        <f t="shared" si="16"/>
        <v/>
      </c>
      <c r="Q109" s="17" t="str">
        <f t="shared" si="17"/>
        <v/>
      </c>
    </row>
    <row r="110" spans="1:17" x14ac:dyDescent="0.25">
      <c r="A110" s="49"/>
      <c r="B110" s="50"/>
      <c r="C110" s="50"/>
      <c r="D110" s="8"/>
      <c r="E110" s="51"/>
      <c r="F110" s="52"/>
      <c r="G110" s="53"/>
      <c r="H110" s="54"/>
      <c r="I110" s="53"/>
      <c r="J110" s="54"/>
      <c r="K110" s="54"/>
      <c r="L110" s="9">
        <f t="shared" si="15"/>
        <v>250000</v>
      </c>
      <c r="M110" s="55"/>
      <c r="N110" s="9">
        <f t="shared" si="14"/>
        <v>250000</v>
      </c>
      <c r="O110" s="53"/>
      <c r="P110" s="4" t="str">
        <f t="shared" si="16"/>
        <v/>
      </c>
      <c r="Q110" s="17" t="str">
        <f t="shared" si="17"/>
        <v/>
      </c>
    </row>
    <row r="111" spans="1:17" x14ac:dyDescent="0.25">
      <c r="A111" s="49"/>
      <c r="B111" s="50"/>
      <c r="C111" s="50"/>
      <c r="D111" s="8"/>
      <c r="E111" s="51"/>
      <c r="F111" s="52"/>
      <c r="G111" s="53"/>
      <c r="H111" s="54"/>
      <c r="I111" s="53"/>
      <c r="J111" s="54"/>
      <c r="K111" s="54"/>
      <c r="L111" s="9">
        <f t="shared" si="15"/>
        <v>250000</v>
      </c>
      <c r="M111" s="55"/>
      <c r="N111" s="9">
        <f t="shared" si="14"/>
        <v>250000</v>
      </c>
      <c r="O111" s="53"/>
      <c r="P111" s="4" t="str">
        <f t="shared" si="16"/>
        <v/>
      </c>
      <c r="Q111" s="17" t="str">
        <f t="shared" si="17"/>
        <v/>
      </c>
    </row>
    <row r="112" spans="1:17" x14ac:dyDescent="0.25">
      <c r="A112" s="49"/>
      <c r="B112" s="50"/>
      <c r="C112" s="50"/>
      <c r="D112" s="8"/>
      <c r="E112" s="51"/>
      <c r="F112" s="52"/>
      <c r="G112" s="53"/>
      <c r="H112" s="54"/>
      <c r="I112" s="53"/>
      <c r="J112" s="54"/>
      <c r="K112" s="54"/>
      <c r="L112" s="9">
        <f t="shared" si="15"/>
        <v>250000</v>
      </c>
      <c r="M112" s="55"/>
      <c r="N112" s="9">
        <f t="shared" si="14"/>
        <v>250000</v>
      </c>
      <c r="O112" s="53"/>
      <c r="P112" s="4" t="str">
        <f t="shared" si="16"/>
        <v/>
      </c>
      <c r="Q112" s="17" t="str">
        <f t="shared" si="17"/>
        <v/>
      </c>
    </row>
    <row r="113" spans="1:17" x14ac:dyDescent="0.25">
      <c r="A113" s="49"/>
      <c r="B113" s="50"/>
      <c r="C113" s="50"/>
      <c r="D113" s="8"/>
      <c r="E113" s="51"/>
      <c r="F113" s="52"/>
      <c r="G113" s="53"/>
      <c r="H113" s="54"/>
      <c r="I113" s="53"/>
      <c r="J113" s="54"/>
      <c r="K113" s="54"/>
      <c r="L113" s="9">
        <f t="shared" si="15"/>
        <v>250000</v>
      </c>
      <c r="M113" s="55"/>
      <c r="N113" s="9">
        <f t="shared" si="14"/>
        <v>250000</v>
      </c>
      <c r="O113" s="53"/>
      <c r="P113" s="4" t="str">
        <f t="shared" si="16"/>
        <v/>
      </c>
      <c r="Q113" s="17" t="str">
        <f t="shared" si="17"/>
        <v/>
      </c>
    </row>
    <row r="114" spans="1:17" x14ac:dyDescent="0.25">
      <c r="A114" s="49"/>
      <c r="B114" s="50"/>
      <c r="C114" s="50"/>
      <c r="D114" s="8"/>
      <c r="E114" s="51"/>
      <c r="F114" s="52"/>
      <c r="G114" s="53"/>
      <c r="H114" s="54"/>
      <c r="I114" s="53"/>
      <c r="J114" s="54"/>
      <c r="K114" s="54"/>
      <c r="L114" s="9">
        <f t="shared" si="15"/>
        <v>250000</v>
      </c>
      <c r="M114" s="55"/>
      <c r="N114" s="9">
        <f t="shared" si="14"/>
        <v>250000</v>
      </c>
      <c r="O114" s="53"/>
      <c r="P114" s="4" t="str">
        <f t="shared" si="16"/>
        <v/>
      </c>
      <c r="Q114" s="17" t="str">
        <f t="shared" si="17"/>
        <v/>
      </c>
    </row>
    <row r="115" spans="1:17" x14ac:dyDescent="0.25">
      <c r="A115" s="49"/>
      <c r="B115" s="50"/>
      <c r="C115" s="50"/>
      <c r="D115" s="8"/>
      <c r="E115" s="51"/>
      <c r="F115" s="52"/>
      <c r="G115" s="53"/>
      <c r="H115" s="54"/>
      <c r="I115" s="53"/>
      <c r="J115" s="54"/>
      <c r="K115" s="54"/>
      <c r="L115" s="9">
        <f t="shared" si="15"/>
        <v>250000</v>
      </c>
      <c r="M115" s="55"/>
      <c r="N115" s="9">
        <f t="shared" si="14"/>
        <v>250000</v>
      </c>
      <c r="O115" s="53"/>
      <c r="P115" s="4" t="str">
        <f t="shared" si="16"/>
        <v/>
      </c>
      <c r="Q115" s="17" t="str">
        <f t="shared" si="17"/>
        <v/>
      </c>
    </row>
    <row r="116" spans="1:17" x14ac:dyDescent="0.25">
      <c r="A116" s="49"/>
      <c r="B116" s="50"/>
      <c r="C116" s="50"/>
      <c r="D116" s="8"/>
      <c r="E116" s="51"/>
      <c r="F116" s="52"/>
      <c r="G116" s="53"/>
      <c r="H116" s="54"/>
      <c r="I116" s="53"/>
      <c r="J116" s="54"/>
      <c r="K116" s="54"/>
      <c r="L116" s="9">
        <f t="shared" si="15"/>
        <v>250000</v>
      </c>
      <c r="M116" s="55"/>
      <c r="N116" s="9">
        <f t="shared" si="14"/>
        <v>250000</v>
      </c>
      <c r="O116" s="53"/>
      <c r="P116" s="4" t="str">
        <f t="shared" si="16"/>
        <v/>
      </c>
      <c r="Q116" s="17" t="str">
        <f t="shared" si="17"/>
        <v/>
      </c>
    </row>
    <row r="117" spans="1:17" x14ac:dyDescent="0.25">
      <c r="A117" s="49"/>
      <c r="B117" s="50"/>
      <c r="C117" s="50"/>
      <c r="D117" s="8"/>
      <c r="E117" s="51"/>
      <c r="F117" s="52"/>
      <c r="G117" s="53"/>
      <c r="H117" s="54"/>
      <c r="I117" s="53"/>
      <c r="J117" s="54"/>
      <c r="K117" s="54"/>
      <c r="L117" s="9">
        <f t="shared" si="15"/>
        <v>250000</v>
      </c>
      <c r="M117" s="55"/>
      <c r="N117" s="9">
        <f t="shared" si="14"/>
        <v>250000</v>
      </c>
      <c r="O117" s="53"/>
      <c r="P117" s="4" t="str">
        <f t="shared" si="16"/>
        <v/>
      </c>
      <c r="Q117" s="17" t="str">
        <f t="shared" si="17"/>
        <v/>
      </c>
    </row>
    <row r="118" spans="1:17" x14ac:dyDescent="0.25">
      <c r="A118" s="49"/>
      <c r="B118" s="50"/>
      <c r="C118" s="50"/>
      <c r="D118" s="8"/>
      <c r="E118" s="51"/>
      <c r="F118" s="52"/>
      <c r="G118" s="53"/>
      <c r="H118" s="54"/>
      <c r="I118" s="53"/>
      <c r="J118" s="54"/>
      <c r="K118" s="54"/>
      <c r="L118" s="9">
        <f t="shared" si="15"/>
        <v>250000</v>
      </c>
      <c r="M118" s="55"/>
      <c r="N118" s="9">
        <f t="shared" si="14"/>
        <v>250000</v>
      </c>
      <c r="O118" s="53"/>
      <c r="P118" s="4" t="str">
        <f t="shared" si="16"/>
        <v/>
      </c>
      <c r="Q118" s="17" t="str">
        <f t="shared" si="17"/>
        <v/>
      </c>
    </row>
    <row r="119" spans="1:17" x14ac:dyDescent="0.25">
      <c r="A119" s="49"/>
      <c r="B119" s="50"/>
      <c r="C119" s="50"/>
      <c r="D119" s="8"/>
      <c r="E119" s="51"/>
      <c r="F119" s="52"/>
      <c r="G119" s="53"/>
      <c r="H119" s="54"/>
      <c r="I119" s="53"/>
      <c r="J119" s="54"/>
      <c r="K119" s="54"/>
      <c r="L119" s="9">
        <f t="shared" si="15"/>
        <v>250000</v>
      </c>
      <c r="M119" s="55"/>
      <c r="N119" s="9">
        <f t="shared" si="14"/>
        <v>250000</v>
      </c>
      <c r="O119" s="53"/>
      <c r="P119" s="4" t="str">
        <f t="shared" si="16"/>
        <v/>
      </c>
      <c r="Q119" s="17" t="str">
        <f t="shared" si="17"/>
        <v/>
      </c>
    </row>
    <row r="120" spans="1:17" x14ac:dyDescent="0.25">
      <c r="A120" s="49"/>
      <c r="B120" s="50"/>
      <c r="C120" s="50"/>
      <c r="D120" s="8"/>
      <c r="E120" s="51"/>
      <c r="F120" s="52"/>
      <c r="G120" s="53"/>
      <c r="H120" s="54"/>
      <c r="I120" s="53"/>
      <c r="J120" s="54"/>
      <c r="K120" s="54"/>
      <c r="L120" s="9">
        <f t="shared" si="15"/>
        <v>250000</v>
      </c>
      <c r="M120" s="55"/>
      <c r="N120" s="9">
        <f t="shared" si="14"/>
        <v>250000</v>
      </c>
      <c r="O120" s="53"/>
      <c r="P120" s="4" t="str">
        <f t="shared" si="16"/>
        <v/>
      </c>
      <c r="Q120" s="17" t="str">
        <f t="shared" si="17"/>
        <v/>
      </c>
    </row>
    <row r="121" spans="1:17" x14ac:dyDescent="0.25">
      <c r="A121" s="49"/>
      <c r="B121" s="50"/>
      <c r="C121" s="50"/>
      <c r="D121" s="8"/>
      <c r="E121" s="51"/>
      <c r="F121" s="52"/>
      <c r="G121" s="53"/>
      <c r="H121" s="54"/>
      <c r="I121" s="53"/>
      <c r="J121" s="54"/>
      <c r="K121" s="54"/>
      <c r="L121" s="9">
        <f t="shared" si="15"/>
        <v>250000</v>
      </c>
      <c r="M121" s="55"/>
      <c r="N121" s="9">
        <f t="shared" si="14"/>
        <v>250000</v>
      </c>
      <c r="O121" s="53"/>
      <c r="P121" s="4" t="str">
        <f t="shared" si="16"/>
        <v/>
      </c>
      <c r="Q121" s="17" t="str">
        <f t="shared" si="17"/>
        <v/>
      </c>
    </row>
    <row r="122" spans="1:17" x14ac:dyDescent="0.25">
      <c r="A122" s="49"/>
      <c r="B122" s="50"/>
      <c r="C122" s="50"/>
      <c r="D122" s="8"/>
      <c r="E122" s="51"/>
      <c r="F122" s="52"/>
      <c r="G122" s="53"/>
      <c r="H122" s="54"/>
      <c r="I122" s="53"/>
      <c r="J122" s="54"/>
      <c r="K122" s="54"/>
      <c r="L122" s="9">
        <f t="shared" si="15"/>
        <v>250000</v>
      </c>
      <c r="M122" s="55"/>
      <c r="N122" s="9">
        <f t="shared" si="14"/>
        <v>250000</v>
      </c>
      <c r="O122" s="53"/>
      <c r="P122" s="4" t="str">
        <f t="shared" si="16"/>
        <v/>
      </c>
      <c r="Q122" s="17" t="str">
        <f t="shared" si="17"/>
        <v/>
      </c>
    </row>
    <row r="123" spans="1:17" x14ac:dyDescent="0.25">
      <c r="A123" s="49"/>
      <c r="B123" s="50"/>
      <c r="C123" s="50"/>
      <c r="D123" s="8"/>
      <c r="E123" s="51"/>
      <c r="F123" s="52"/>
      <c r="G123" s="53"/>
      <c r="H123" s="54"/>
      <c r="I123" s="53"/>
      <c r="J123" s="54"/>
      <c r="K123" s="54"/>
      <c r="L123" s="9">
        <f t="shared" si="15"/>
        <v>250000</v>
      </c>
      <c r="M123" s="55"/>
      <c r="N123" s="9">
        <f t="shared" si="14"/>
        <v>250000</v>
      </c>
      <c r="O123" s="53"/>
      <c r="P123" s="4" t="str">
        <f t="shared" si="16"/>
        <v/>
      </c>
      <c r="Q123" s="17" t="str">
        <f t="shared" si="17"/>
        <v/>
      </c>
    </row>
    <row r="124" spans="1:17" x14ac:dyDescent="0.25">
      <c r="A124" s="49"/>
      <c r="B124" s="50"/>
      <c r="C124" s="50"/>
      <c r="D124" s="8"/>
      <c r="E124" s="51"/>
      <c r="F124" s="52"/>
      <c r="G124" s="53"/>
      <c r="H124" s="54"/>
      <c r="I124" s="53"/>
      <c r="J124" s="54"/>
      <c r="K124" s="54"/>
      <c r="L124" s="9">
        <f t="shared" si="15"/>
        <v>250000</v>
      </c>
      <c r="M124" s="55"/>
      <c r="N124" s="9">
        <f t="shared" si="14"/>
        <v>250000</v>
      </c>
      <c r="O124" s="53"/>
      <c r="P124" s="4" t="str">
        <f t="shared" si="16"/>
        <v/>
      </c>
      <c r="Q124" s="17" t="str">
        <f t="shared" si="17"/>
        <v/>
      </c>
    </row>
    <row r="125" spans="1:17" x14ac:dyDescent="0.25">
      <c r="A125" s="49"/>
      <c r="B125" s="50"/>
      <c r="C125" s="50"/>
      <c r="D125" s="8"/>
      <c r="E125" s="51"/>
      <c r="F125" s="52"/>
      <c r="G125" s="53"/>
      <c r="H125" s="54"/>
      <c r="I125" s="53"/>
      <c r="J125" s="54"/>
      <c r="K125" s="54"/>
      <c r="L125" s="9">
        <f t="shared" si="15"/>
        <v>250000</v>
      </c>
      <c r="M125" s="55"/>
      <c r="N125" s="9">
        <f t="shared" ref="N125:N156" si="18">L125-M125</f>
        <v>250000</v>
      </c>
      <c r="O125" s="53"/>
      <c r="P125" s="4" t="str">
        <f t="shared" si="16"/>
        <v/>
      </c>
      <c r="Q125" s="17" t="str">
        <f t="shared" si="17"/>
        <v/>
      </c>
    </row>
    <row r="126" spans="1:17" x14ac:dyDescent="0.25">
      <c r="A126" s="49"/>
      <c r="B126" s="50"/>
      <c r="C126" s="50"/>
      <c r="D126" s="8"/>
      <c r="E126" s="51"/>
      <c r="F126" s="52"/>
      <c r="G126" s="53"/>
      <c r="H126" s="54"/>
      <c r="I126" s="53"/>
      <c r="J126" s="54"/>
      <c r="K126" s="54"/>
      <c r="L126" s="9">
        <f t="shared" si="15"/>
        <v>250000</v>
      </c>
      <c r="M126" s="55"/>
      <c r="N126" s="9">
        <f t="shared" si="18"/>
        <v>250000</v>
      </c>
      <c r="O126" s="53"/>
      <c r="P126" s="4" t="str">
        <f t="shared" si="16"/>
        <v/>
      </c>
      <c r="Q126" s="17" t="str">
        <f t="shared" si="17"/>
        <v/>
      </c>
    </row>
    <row r="127" spans="1:17" x14ac:dyDescent="0.25">
      <c r="A127" s="49"/>
      <c r="B127" s="50"/>
      <c r="C127" s="50"/>
      <c r="D127" s="8"/>
      <c r="E127" s="51"/>
      <c r="F127" s="52"/>
      <c r="G127" s="53"/>
      <c r="H127" s="54"/>
      <c r="I127" s="53"/>
      <c r="J127" s="54"/>
      <c r="K127" s="54"/>
      <c r="L127" s="9">
        <f t="shared" si="15"/>
        <v>250000</v>
      </c>
      <c r="M127" s="55"/>
      <c r="N127" s="9">
        <f t="shared" si="18"/>
        <v>250000</v>
      </c>
      <c r="O127" s="53"/>
      <c r="P127" s="4" t="str">
        <f t="shared" si="16"/>
        <v/>
      </c>
      <c r="Q127" s="17" t="str">
        <f t="shared" si="17"/>
        <v/>
      </c>
    </row>
    <row r="128" spans="1:17" x14ac:dyDescent="0.25">
      <c r="A128" s="49"/>
      <c r="B128" s="50"/>
      <c r="C128" s="50"/>
      <c r="D128" s="8"/>
      <c r="E128" s="51"/>
      <c r="F128" s="52"/>
      <c r="G128" s="53"/>
      <c r="H128" s="54"/>
      <c r="I128" s="53"/>
      <c r="J128" s="54"/>
      <c r="K128" s="54"/>
      <c r="L128" s="9">
        <f t="shared" si="15"/>
        <v>250000</v>
      </c>
      <c r="M128" s="55"/>
      <c r="N128" s="9">
        <f t="shared" si="18"/>
        <v>250000</v>
      </c>
      <c r="O128" s="53"/>
      <c r="P128" s="4" t="str">
        <f t="shared" si="16"/>
        <v/>
      </c>
      <c r="Q128" s="17" t="str">
        <f t="shared" si="17"/>
        <v/>
      </c>
    </row>
    <row r="129" spans="1:17" x14ac:dyDescent="0.25">
      <c r="A129" s="49"/>
      <c r="B129" s="50"/>
      <c r="C129" s="50"/>
      <c r="D129" s="8"/>
      <c r="E129" s="51"/>
      <c r="F129" s="52"/>
      <c r="G129" s="53"/>
      <c r="H129" s="54"/>
      <c r="I129" s="53"/>
      <c r="J129" s="54"/>
      <c r="K129" s="54"/>
      <c r="L129" s="9">
        <f t="shared" si="15"/>
        <v>250000</v>
      </c>
      <c r="M129" s="55"/>
      <c r="N129" s="9">
        <f t="shared" si="18"/>
        <v>250000</v>
      </c>
      <c r="O129" s="53"/>
      <c r="P129" s="4" t="str">
        <f t="shared" si="16"/>
        <v/>
      </c>
      <c r="Q129" s="17" t="str">
        <f t="shared" si="17"/>
        <v/>
      </c>
    </row>
    <row r="130" spans="1:17" x14ac:dyDescent="0.25">
      <c r="A130" s="49"/>
      <c r="B130" s="50"/>
      <c r="C130" s="50"/>
      <c r="D130" s="8"/>
      <c r="E130" s="51"/>
      <c r="F130" s="52"/>
      <c r="G130" s="53"/>
      <c r="H130" s="54"/>
      <c r="I130" s="53"/>
      <c r="J130" s="54"/>
      <c r="K130" s="54"/>
      <c r="L130" s="9">
        <f t="shared" si="15"/>
        <v>250000</v>
      </c>
      <c r="M130" s="55"/>
      <c r="N130" s="9">
        <f t="shared" si="18"/>
        <v>250000</v>
      </c>
      <c r="O130" s="53"/>
      <c r="P130" s="4" t="str">
        <f t="shared" si="16"/>
        <v/>
      </c>
      <c r="Q130" s="17" t="str">
        <f t="shared" si="17"/>
        <v/>
      </c>
    </row>
    <row r="131" spans="1:17" x14ac:dyDescent="0.25">
      <c r="A131" s="49"/>
      <c r="B131" s="50"/>
      <c r="C131" s="50"/>
      <c r="D131" s="8"/>
      <c r="E131" s="51"/>
      <c r="F131" s="52"/>
      <c r="G131" s="53"/>
      <c r="H131" s="54"/>
      <c r="I131" s="53"/>
      <c r="J131" s="54"/>
      <c r="K131" s="54"/>
      <c r="L131" s="9">
        <f t="shared" si="15"/>
        <v>250000</v>
      </c>
      <c r="M131" s="55"/>
      <c r="N131" s="9">
        <f t="shared" si="18"/>
        <v>250000</v>
      </c>
      <c r="O131" s="53"/>
      <c r="P131" s="4" t="str">
        <f t="shared" si="16"/>
        <v/>
      </c>
      <c r="Q131" s="17" t="str">
        <f t="shared" si="17"/>
        <v/>
      </c>
    </row>
    <row r="132" spans="1:17" x14ac:dyDescent="0.25">
      <c r="A132" s="49"/>
      <c r="B132" s="50"/>
      <c r="C132" s="50"/>
      <c r="D132" s="8"/>
      <c r="E132" s="51"/>
      <c r="F132" s="52"/>
      <c r="G132" s="53"/>
      <c r="H132" s="54"/>
      <c r="I132" s="53"/>
      <c r="J132" s="54"/>
      <c r="K132" s="54"/>
      <c r="L132" s="9">
        <f t="shared" si="15"/>
        <v>250000</v>
      </c>
      <c r="M132" s="55"/>
      <c r="N132" s="9">
        <f t="shared" si="18"/>
        <v>250000</v>
      </c>
      <c r="O132" s="53"/>
      <c r="P132" s="4" t="str">
        <f t="shared" si="16"/>
        <v/>
      </c>
      <c r="Q132" s="17" t="str">
        <f t="shared" si="17"/>
        <v/>
      </c>
    </row>
    <row r="133" spans="1:17" x14ac:dyDescent="0.25">
      <c r="A133" s="49"/>
      <c r="B133" s="50"/>
      <c r="C133" s="50"/>
      <c r="D133" s="8"/>
      <c r="E133" s="51"/>
      <c r="F133" s="52"/>
      <c r="G133" s="53"/>
      <c r="H133" s="54"/>
      <c r="I133" s="53"/>
      <c r="J133" s="54"/>
      <c r="K133" s="54"/>
      <c r="L133" s="9">
        <f t="shared" si="15"/>
        <v>250000</v>
      </c>
      <c r="M133" s="55"/>
      <c r="N133" s="9">
        <f t="shared" si="18"/>
        <v>250000</v>
      </c>
      <c r="O133" s="53"/>
      <c r="P133" s="4" t="str">
        <f t="shared" si="16"/>
        <v/>
      </c>
      <c r="Q133" s="17" t="str">
        <f t="shared" si="17"/>
        <v/>
      </c>
    </row>
    <row r="134" spans="1:17" x14ac:dyDescent="0.25">
      <c r="A134" s="49"/>
      <c r="B134" s="50"/>
      <c r="C134" s="50"/>
      <c r="D134" s="8"/>
      <c r="E134" s="51"/>
      <c r="F134" s="52"/>
      <c r="G134" s="53"/>
      <c r="H134" s="54"/>
      <c r="I134" s="53"/>
      <c r="J134" s="54"/>
      <c r="K134" s="54"/>
      <c r="L134" s="9">
        <f t="shared" si="15"/>
        <v>250000</v>
      </c>
      <c r="M134" s="55"/>
      <c r="N134" s="9">
        <f t="shared" si="18"/>
        <v>250000</v>
      </c>
      <c r="O134" s="53"/>
      <c r="P134" s="4" t="str">
        <f t="shared" si="16"/>
        <v/>
      </c>
      <c r="Q134" s="17" t="str">
        <f t="shared" si="17"/>
        <v/>
      </c>
    </row>
    <row r="135" spans="1:17" x14ac:dyDescent="0.25">
      <c r="A135" s="49"/>
      <c r="B135" s="50"/>
      <c r="C135" s="50"/>
      <c r="D135" s="8"/>
      <c r="E135" s="51"/>
      <c r="F135" s="52"/>
      <c r="G135" s="53"/>
      <c r="H135" s="54"/>
      <c r="I135" s="53"/>
      <c r="J135" s="54"/>
      <c r="K135" s="54"/>
      <c r="L135" s="9">
        <f t="shared" ref="L135:L166" si="19">IF(G135="Cameroun", 75000, IF(OR(G135="Gabon", G135="Congo (RDC)", G135="Congo", G135="Tchad", G135="RCA", G135="Guinée Équatoriale"), 150000, IF(G135&lt;&gt;"", 200000, 250000)))</f>
        <v>250000</v>
      </c>
      <c r="M135" s="55"/>
      <c r="N135" s="9">
        <f t="shared" si="18"/>
        <v>250000</v>
      </c>
      <c r="O135" s="53"/>
      <c r="P135" s="4" t="str">
        <f t="shared" ref="P135:P166" si="20">IF(B137="","","Bonjour "&amp;A137&amp;",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35" s="17" t="str">
        <f t="shared" ref="Q135:Q166" si="21">IF(B135="","","https://wa.me/"&amp;SUBSTITUTE(SUBSTITUTE(SUBSTITUTE(B135,"+","")," ",""),"-","")&amp;"?text="&amp;SUBSTITUTE(P135," ","%20"))</f>
        <v/>
      </c>
    </row>
    <row r="136" spans="1:17" x14ac:dyDescent="0.25">
      <c r="A136" s="49"/>
      <c r="B136" s="50"/>
      <c r="C136" s="50"/>
      <c r="D136" s="8"/>
      <c r="E136" s="51"/>
      <c r="F136" s="52"/>
      <c r="G136" s="53"/>
      <c r="H136" s="54"/>
      <c r="I136" s="53"/>
      <c r="J136" s="54"/>
      <c r="K136" s="54"/>
      <c r="L136" s="9">
        <f t="shared" si="19"/>
        <v>250000</v>
      </c>
      <c r="M136" s="55"/>
      <c r="N136" s="9">
        <f t="shared" si="18"/>
        <v>250000</v>
      </c>
      <c r="O136" s="53"/>
      <c r="P136" s="4" t="str">
        <f t="shared" si="20"/>
        <v/>
      </c>
      <c r="Q136" s="17" t="str">
        <f t="shared" si="21"/>
        <v/>
      </c>
    </row>
    <row r="137" spans="1:17" x14ac:dyDescent="0.25">
      <c r="A137" s="49"/>
      <c r="B137" s="50"/>
      <c r="C137" s="50"/>
      <c r="D137" s="8"/>
      <c r="E137" s="51"/>
      <c r="F137" s="52"/>
      <c r="G137" s="53"/>
      <c r="H137" s="54"/>
      <c r="I137" s="53"/>
      <c r="J137" s="54"/>
      <c r="K137" s="54"/>
      <c r="L137" s="9">
        <f t="shared" si="19"/>
        <v>250000</v>
      </c>
      <c r="M137" s="55"/>
      <c r="N137" s="9">
        <f t="shared" si="18"/>
        <v>250000</v>
      </c>
      <c r="O137" s="53"/>
      <c r="P137" s="4" t="str">
        <f t="shared" si="20"/>
        <v/>
      </c>
      <c r="Q137" s="17" t="str">
        <f t="shared" si="21"/>
        <v/>
      </c>
    </row>
    <row r="138" spans="1:17" x14ac:dyDescent="0.25">
      <c r="A138" s="49"/>
      <c r="B138" s="50"/>
      <c r="C138" s="50"/>
      <c r="D138" s="8"/>
      <c r="E138" s="51"/>
      <c r="F138" s="52"/>
      <c r="G138" s="53"/>
      <c r="H138" s="54"/>
      <c r="I138" s="53"/>
      <c r="J138" s="54"/>
      <c r="K138" s="54"/>
      <c r="L138" s="9">
        <f t="shared" si="19"/>
        <v>250000</v>
      </c>
      <c r="M138" s="55"/>
      <c r="N138" s="9">
        <f t="shared" si="18"/>
        <v>250000</v>
      </c>
      <c r="O138" s="53"/>
      <c r="P138" s="4" t="str">
        <f t="shared" si="20"/>
        <v/>
      </c>
      <c r="Q138" s="17" t="str">
        <f t="shared" si="21"/>
        <v/>
      </c>
    </row>
    <row r="139" spans="1:17" x14ac:dyDescent="0.25">
      <c r="A139" s="49"/>
      <c r="B139" s="50"/>
      <c r="C139" s="50"/>
      <c r="D139" s="8"/>
      <c r="E139" s="51"/>
      <c r="F139" s="52"/>
      <c r="G139" s="53"/>
      <c r="H139" s="54"/>
      <c r="I139" s="53"/>
      <c r="J139" s="54"/>
      <c r="K139" s="54"/>
      <c r="L139" s="9">
        <f t="shared" si="19"/>
        <v>250000</v>
      </c>
      <c r="M139" s="55"/>
      <c r="N139" s="9">
        <f t="shared" si="18"/>
        <v>250000</v>
      </c>
      <c r="O139" s="53"/>
      <c r="P139" s="4" t="str">
        <f t="shared" si="20"/>
        <v/>
      </c>
      <c r="Q139" s="17" t="str">
        <f t="shared" si="21"/>
        <v/>
      </c>
    </row>
    <row r="140" spans="1:17" x14ac:dyDescent="0.25">
      <c r="A140" s="49"/>
      <c r="B140" s="50"/>
      <c r="C140" s="50"/>
      <c r="D140" s="8"/>
      <c r="E140" s="51"/>
      <c r="F140" s="52"/>
      <c r="G140" s="53"/>
      <c r="H140" s="54"/>
      <c r="I140" s="53"/>
      <c r="J140" s="54"/>
      <c r="K140" s="54"/>
      <c r="L140" s="9">
        <f t="shared" si="19"/>
        <v>250000</v>
      </c>
      <c r="M140" s="55"/>
      <c r="N140" s="9">
        <f t="shared" si="18"/>
        <v>250000</v>
      </c>
      <c r="O140" s="53"/>
      <c r="P140" s="4" t="str">
        <f t="shared" si="20"/>
        <v/>
      </c>
      <c r="Q140" s="17" t="str">
        <f t="shared" si="21"/>
        <v/>
      </c>
    </row>
    <row r="141" spans="1:17" x14ac:dyDescent="0.25">
      <c r="A141" s="49"/>
      <c r="B141" s="50"/>
      <c r="C141" s="50"/>
      <c r="D141" s="8"/>
      <c r="E141" s="51"/>
      <c r="F141" s="52"/>
      <c r="G141" s="53"/>
      <c r="H141" s="54"/>
      <c r="I141" s="53"/>
      <c r="J141" s="54"/>
      <c r="K141" s="54"/>
      <c r="L141" s="9">
        <f t="shared" si="19"/>
        <v>250000</v>
      </c>
      <c r="M141" s="55"/>
      <c r="N141" s="9">
        <f t="shared" si="18"/>
        <v>250000</v>
      </c>
      <c r="O141" s="53"/>
      <c r="P141" s="4" t="str">
        <f t="shared" si="20"/>
        <v/>
      </c>
      <c r="Q141" s="17" t="str">
        <f t="shared" si="21"/>
        <v/>
      </c>
    </row>
    <row r="142" spans="1:17" x14ac:dyDescent="0.25">
      <c r="A142" s="49"/>
      <c r="B142" s="50"/>
      <c r="C142" s="50"/>
      <c r="D142" s="8"/>
      <c r="E142" s="51"/>
      <c r="F142" s="52"/>
      <c r="G142" s="53"/>
      <c r="H142" s="54"/>
      <c r="I142" s="53"/>
      <c r="J142" s="54"/>
      <c r="K142" s="54"/>
      <c r="L142" s="9">
        <f t="shared" si="19"/>
        <v>250000</v>
      </c>
      <c r="M142" s="55"/>
      <c r="N142" s="9">
        <f t="shared" si="18"/>
        <v>250000</v>
      </c>
      <c r="O142" s="53"/>
      <c r="P142" s="4" t="str">
        <f t="shared" si="20"/>
        <v/>
      </c>
      <c r="Q142" s="17" t="str">
        <f t="shared" si="21"/>
        <v/>
      </c>
    </row>
    <row r="143" spans="1:17" x14ac:dyDescent="0.25">
      <c r="A143" s="49"/>
      <c r="B143" s="50"/>
      <c r="C143" s="50"/>
      <c r="D143" s="8"/>
      <c r="E143" s="51"/>
      <c r="F143" s="52"/>
      <c r="G143" s="53"/>
      <c r="H143" s="54"/>
      <c r="I143" s="53"/>
      <c r="J143" s="54"/>
      <c r="K143" s="54"/>
      <c r="L143" s="9">
        <f t="shared" si="19"/>
        <v>250000</v>
      </c>
      <c r="M143" s="55"/>
      <c r="N143" s="9">
        <f t="shared" si="18"/>
        <v>250000</v>
      </c>
      <c r="O143" s="53"/>
      <c r="P143" s="4" t="str">
        <f t="shared" si="20"/>
        <v/>
      </c>
      <c r="Q143" s="17" t="str">
        <f t="shared" si="21"/>
        <v/>
      </c>
    </row>
    <row r="144" spans="1:17" x14ac:dyDescent="0.25">
      <c r="A144" s="49"/>
      <c r="B144" s="50"/>
      <c r="C144" s="50"/>
      <c r="D144" s="8"/>
      <c r="E144" s="51"/>
      <c r="F144" s="52"/>
      <c r="G144" s="53"/>
      <c r="H144" s="54"/>
      <c r="I144" s="53"/>
      <c r="J144" s="54"/>
      <c r="K144" s="54"/>
      <c r="L144" s="9">
        <f t="shared" si="19"/>
        <v>250000</v>
      </c>
      <c r="M144" s="55"/>
      <c r="N144" s="9">
        <f t="shared" si="18"/>
        <v>250000</v>
      </c>
      <c r="O144" s="53"/>
      <c r="P144" s="4" t="str">
        <f t="shared" si="20"/>
        <v/>
      </c>
      <c r="Q144" s="17" t="str">
        <f t="shared" si="21"/>
        <v/>
      </c>
    </row>
    <row r="145" spans="1:17" x14ac:dyDescent="0.25">
      <c r="A145" s="49"/>
      <c r="B145" s="50"/>
      <c r="C145" s="50"/>
      <c r="D145" s="8"/>
      <c r="E145" s="51"/>
      <c r="F145" s="52"/>
      <c r="G145" s="53"/>
      <c r="H145" s="54"/>
      <c r="I145" s="53"/>
      <c r="J145" s="54"/>
      <c r="K145" s="54"/>
      <c r="L145" s="9">
        <f t="shared" si="19"/>
        <v>250000</v>
      </c>
      <c r="M145" s="55"/>
      <c r="N145" s="9">
        <f t="shared" si="18"/>
        <v>250000</v>
      </c>
      <c r="O145" s="53"/>
      <c r="P145" s="4" t="str">
        <f t="shared" si="20"/>
        <v/>
      </c>
      <c r="Q145" s="17" t="str">
        <f t="shared" si="21"/>
        <v/>
      </c>
    </row>
    <row r="146" spans="1:17" x14ac:dyDescent="0.25">
      <c r="A146" s="49"/>
      <c r="B146" s="50"/>
      <c r="C146" s="50"/>
      <c r="D146" s="8"/>
      <c r="E146" s="51"/>
      <c r="F146" s="52"/>
      <c r="G146" s="53"/>
      <c r="H146" s="54"/>
      <c r="I146" s="53"/>
      <c r="J146" s="54"/>
      <c r="K146" s="54"/>
      <c r="L146" s="9">
        <f t="shared" si="19"/>
        <v>250000</v>
      </c>
      <c r="M146" s="55"/>
      <c r="N146" s="9">
        <f t="shared" si="18"/>
        <v>250000</v>
      </c>
      <c r="O146" s="53"/>
      <c r="P146" s="4" t="str">
        <f t="shared" si="20"/>
        <v/>
      </c>
      <c r="Q146" s="17" t="str">
        <f t="shared" si="21"/>
        <v/>
      </c>
    </row>
    <row r="147" spans="1:17" x14ac:dyDescent="0.25">
      <c r="A147" s="49"/>
      <c r="B147" s="50"/>
      <c r="C147" s="50"/>
      <c r="D147" s="8"/>
      <c r="E147" s="51"/>
      <c r="F147" s="52"/>
      <c r="G147" s="53"/>
      <c r="H147" s="54"/>
      <c r="I147" s="53"/>
      <c r="J147" s="54"/>
      <c r="K147" s="54"/>
      <c r="L147" s="9">
        <f t="shared" si="19"/>
        <v>250000</v>
      </c>
      <c r="M147" s="55"/>
      <c r="N147" s="9">
        <f t="shared" si="18"/>
        <v>250000</v>
      </c>
      <c r="O147" s="53"/>
      <c r="P147" s="4" t="str">
        <f t="shared" si="20"/>
        <v/>
      </c>
      <c r="Q147" s="17" t="str">
        <f t="shared" si="21"/>
        <v/>
      </c>
    </row>
    <row r="148" spans="1:17" x14ac:dyDescent="0.25">
      <c r="A148" s="49"/>
      <c r="B148" s="50"/>
      <c r="C148" s="50"/>
      <c r="D148" s="8"/>
      <c r="E148" s="51"/>
      <c r="F148" s="52"/>
      <c r="G148" s="53"/>
      <c r="H148" s="54"/>
      <c r="I148" s="53"/>
      <c r="J148" s="54"/>
      <c r="K148" s="54"/>
      <c r="L148" s="9">
        <f t="shared" si="19"/>
        <v>250000</v>
      </c>
      <c r="M148" s="55"/>
      <c r="N148" s="9">
        <f t="shared" si="18"/>
        <v>250000</v>
      </c>
      <c r="O148" s="53"/>
      <c r="P148" s="4" t="str">
        <f t="shared" si="20"/>
        <v/>
      </c>
      <c r="Q148" s="17" t="str">
        <f t="shared" si="21"/>
        <v/>
      </c>
    </row>
    <row r="149" spans="1:17" x14ac:dyDescent="0.25">
      <c r="A149" s="49"/>
      <c r="B149" s="50"/>
      <c r="C149" s="50"/>
      <c r="D149" s="8"/>
      <c r="E149" s="51"/>
      <c r="F149" s="52"/>
      <c r="G149" s="53"/>
      <c r="H149" s="54"/>
      <c r="I149" s="53"/>
      <c r="J149" s="54"/>
      <c r="K149" s="54"/>
      <c r="L149" s="9">
        <f t="shared" si="19"/>
        <v>250000</v>
      </c>
      <c r="M149" s="55"/>
      <c r="N149" s="9">
        <f t="shared" si="18"/>
        <v>250000</v>
      </c>
      <c r="O149" s="53"/>
      <c r="P149" s="4" t="str">
        <f t="shared" si="20"/>
        <v/>
      </c>
      <c r="Q149" s="17" t="str">
        <f t="shared" si="21"/>
        <v/>
      </c>
    </row>
    <row r="150" spans="1:17" x14ac:dyDescent="0.25">
      <c r="A150" s="49"/>
      <c r="B150" s="50"/>
      <c r="C150" s="50"/>
      <c r="D150" s="8"/>
      <c r="E150" s="51"/>
      <c r="F150" s="52"/>
      <c r="G150" s="53"/>
      <c r="H150" s="54"/>
      <c r="I150" s="53"/>
      <c r="J150" s="54"/>
      <c r="K150" s="54"/>
      <c r="L150" s="9">
        <f t="shared" si="19"/>
        <v>250000</v>
      </c>
      <c r="M150" s="55"/>
      <c r="N150" s="9">
        <f t="shared" si="18"/>
        <v>250000</v>
      </c>
      <c r="O150" s="53"/>
      <c r="P150" s="4" t="str">
        <f t="shared" si="20"/>
        <v/>
      </c>
      <c r="Q150" s="17" t="str">
        <f t="shared" si="21"/>
        <v/>
      </c>
    </row>
    <row r="151" spans="1:17" x14ac:dyDescent="0.25">
      <c r="A151" s="49"/>
      <c r="B151" s="50"/>
      <c r="C151" s="50"/>
      <c r="D151" s="8"/>
      <c r="E151" s="51"/>
      <c r="F151" s="52"/>
      <c r="G151" s="53"/>
      <c r="H151" s="54"/>
      <c r="I151" s="53"/>
      <c r="J151" s="54"/>
      <c r="K151" s="54"/>
      <c r="L151" s="9">
        <f t="shared" si="19"/>
        <v>250000</v>
      </c>
      <c r="M151" s="55"/>
      <c r="N151" s="9">
        <f t="shared" si="18"/>
        <v>250000</v>
      </c>
      <c r="O151" s="53"/>
      <c r="P151" s="4" t="str">
        <f t="shared" si="20"/>
        <v/>
      </c>
      <c r="Q151" s="17" t="str">
        <f t="shared" si="21"/>
        <v/>
      </c>
    </row>
    <row r="152" spans="1:17" x14ac:dyDescent="0.25">
      <c r="A152" s="49"/>
      <c r="B152" s="50"/>
      <c r="C152" s="50"/>
      <c r="D152" s="8"/>
      <c r="E152" s="51"/>
      <c r="F152" s="52"/>
      <c r="G152" s="53"/>
      <c r="H152" s="54"/>
      <c r="I152" s="53"/>
      <c r="J152" s="54"/>
      <c r="K152" s="54"/>
      <c r="L152" s="9">
        <f t="shared" si="19"/>
        <v>250000</v>
      </c>
      <c r="M152" s="55"/>
      <c r="N152" s="9">
        <f t="shared" si="18"/>
        <v>250000</v>
      </c>
      <c r="O152" s="53"/>
      <c r="P152" s="4" t="str">
        <f t="shared" si="20"/>
        <v/>
      </c>
      <c r="Q152" s="17" t="str">
        <f t="shared" si="21"/>
        <v/>
      </c>
    </row>
    <row r="153" spans="1:17" x14ac:dyDescent="0.25">
      <c r="A153" s="49"/>
      <c r="B153" s="50"/>
      <c r="C153" s="50"/>
      <c r="D153" s="8"/>
      <c r="E153" s="51"/>
      <c r="F153" s="52"/>
      <c r="G153" s="53"/>
      <c r="H153" s="54"/>
      <c r="I153" s="53"/>
      <c r="J153" s="54"/>
      <c r="K153" s="54"/>
      <c r="L153" s="9">
        <f t="shared" si="19"/>
        <v>250000</v>
      </c>
      <c r="M153" s="55"/>
      <c r="N153" s="9">
        <f t="shared" si="18"/>
        <v>250000</v>
      </c>
      <c r="O153" s="53"/>
      <c r="P153" s="4" t="str">
        <f t="shared" si="20"/>
        <v/>
      </c>
      <c r="Q153" s="17" t="str">
        <f t="shared" si="21"/>
        <v/>
      </c>
    </row>
    <row r="154" spans="1:17" x14ac:dyDescent="0.25">
      <c r="A154" s="49"/>
      <c r="B154" s="50"/>
      <c r="C154" s="50"/>
      <c r="D154" s="8"/>
      <c r="E154" s="51"/>
      <c r="F154" s="52"/>
      <c r="G154" s="53"/>
      <c r="H154" s="54"/>
      <c r="I154" s="53"/>
      <c r="J154" s="54"/>
      <c r="K154" s="54"/>
      <c r="L154" s="9">
        <f t="shared" si="19"/>
        <v>250000</v>
      </c>
      <c r="M154" s="55"/>
      <c r="N154" s="9">
        <f t="shared" si="18"/>
        <v>250000</v>
      </c>
      <c r="O154" s="53"/>
      <c r="P154" s="4" t="str">
        <f t="shared" si="20"/>
        <v/>
      </c>
      <c r="Q154" s="17" t="str">
        <f t="shared" si="21"/>
        <v/>
      </c>
    </row>
    <row r="155" spans="1:17" x14ac:dyDescent="0.25">
      <c r="A155" s="49"/>
      <c r="B155" s="50"/>
      <c r="C155" s="50"/>
      <c r="D155" s="8"/>
      <c r="E155" s="51"/>
      <c r="F155" s="52"/>
      <c r="G155" s="53"/>
      <c r="H155" s="54"/>
      <c r="I155" s="53"/>
      <c r="J155" s="54"/>
      <c r="K155" s="54"/>
      <c r="L155" s="9">
        <f t="shared" si="19"/>
        <v>250000</v>
      </c>
      <c r="M155" s="55"/>
      <c r="N155" s="9">
        <f t="shared" si="18"/>
        <v>250000</v>
      </c>
      <c r="O155" s="53"/>
      <c r="P155" s="4" t="str">
        <f t="shared" si="20"/>
        <v/>
      </c>
      <c r="Q155" s="17" t="str">
        <f t="shared" si="21"/>
        <v/>
      </c>
    </row>
    <row r="156" spans="1:17" x14ac:dyDescent="0.25">
      <c r="A156" s="49"/>
      <c r="B156" s="50"/>
      <c r="C156" s="50"/>
      <c r="D156" s="8"/>
      <c r="E156" s="51"/>
      <c r="F156" s="52"/>
      <c r="G156" s="53"/>
      <c r="H156" s="54"/>
      <c r="I156" s="53"/>
      <c r="J156" s="54"/>
      <c r="K156" s="54"/>
      <c r="L156" s="9">
        <f t="shared" si="19"/>
        <v>250000</v>
      </c>
      <c r="M156" s="55"/>
      <c r="N156" s="9">
        <f t="shared" si="18"/>
        <v>250000</v>
      </c>
      <c r="O156" s="53"/>
      <c r="P156" s="4" t="str">
        <f t="shared" si="20"/>
        <v/>
      </c>
      <c r="Q156" s="17" t="str">
        <f t="shared" si="21"/>
        <v/>
      </c>
    </row>
    <row r="157" spans="1:17" x14ac:dyDescent="0.25">
      <c r="A157" s="49"/>
      <c r="B157" s="50"/>
      <c r="C157" s="50"/>
      <c r="D157" s="8"/>
      <c r="E157" s="51"/>
      <c r="F157" s="52"/>
      <c r="G157" s="53"/>
      <c r="H157" s="54"/>
      <c r="I157" s="53"/>
      <c r="J157" s="54"/>
      <c r="K157" s="54"/>
      <c r="L157" s="9">
        <f t="shared" si="19"/>
        <v>250000</v>
      </c>
      <c r="M157" s="55"/>
      <c r="N157" s="9">
        <f t="shared" ref="N157:N188" si="22">L157-M157</f>
        <v>250000</v>
      </c>
      <c r="O157" s="53"/>
      <c r="P157" s="4" t="str">
        <f t="shared" si="20"/>
        <v/>
      </c>
      <c r="Q157" s="17" t="str">
        <f t="shared" si="21"/>
        <v/>
      </c>
    </row>
    <row r="158" spans="1:17" x14ac:dyDescent="0.25">
      <c r="A158" s="49"/>
      <c r="B158" s="50"/>
      <c r="C158" s="50"/>
      <c r="D158" s="8"/>
      <c r="E158" s="51"/>
      <c r="F158" s="52"/>
      <c r="G158" s="53"/>
      <c r="H158" s="54"/>
      <c r="I158" s="53"/>
      <c r="J158" s="54"/>
      <c r="K158" s="54"/>
      <c r="L158" s="9">
        <f t="shared" si="19"/>
        <v>250000</v>
      </c>
      <c r="M158" s="55"/>
      <c r="N158" s="9">
        <f t="shared" si="22"/>
        <v>250000</v>
      </c>
      <c r="O158" s="53"/>
      <c r="P158" s="4" t="str">
        <f t="shared" si="20"/>
        <v/>
      </c>
      <c r="Q158" s="17" t="str">
        <f t="shared" si="21"/>
        <v/>
      </c>
    </row>
    <row r="159" spans="1:17" x14ac:dyDescent="0.25">
      <c r="A159" s="49"/>
      <c r="B159" s="50"/>
      <c r="C159" s="50"/>
      <c r="D159" s="8"/>
      <c r="E159" s="51"/>
      <c r="F159" s="52"/>
      <c r="G159" s="53"/>
      <c r="H159" s="54"/>
      <c r="I159" s="53"/>
      <c r="J159" s="54"/>
      <c r="K159" s="54"/>
      <c r="L159" s="9">
        <f t="shared" si="19"/>
        <v>250000</v>
      </c>
      <c r="M159" s="55"/>
      <c r="N159" s="9">
        <f t="shared" si="22"/>
        <v>250000</v>
      </c>
      <c r="O159" s="53"/>
      <c r="P159" s="4" t="str">
        <f t="shared" si="20"/>
        <v/>
      </c>
      <c r="Q159" s="17" t="str">
        <f t="shared" si="21"/>
        <v/>
      </c>
    </row>
    <row r="160" spans="1:17" x14ac:dyDescent="0.25">
      <c r="A160" s="49"/>
      <c r="B160" s="50"/>
      <c r="C160" s="50"/>
      <c r="D160" s="8"/>
      <c r="E160" s="51"/>
      <c r="F160" s="52"/>
      <c r="G160" s="53"/>
      <c r="H160" s="54"/>
      <c r="I160" s="53"/>
      <c r="J160" s="54"/>
      <c r="K160" s="54"/>
      <c r="L160" s="9">
        <f t="shared" si="19"/>
        <v>250000</v>
      </c>
      <c r="M160" s="55"/>
      <c r="N160" s="9">
        <f t="shared" si="22"/>
        <v>250000</v>
      </c>
      <c r="O160" s="53"/>
      <c r="P160" s="4" t="str">
        <f t="shared" si="20"/>
        <v/>
      </c>
      <c r="Q160" s="17" t="str">
        <f t="shared" si="21"/>
        <v/>
      </c>
    </row>
    <row r="161" spans="1:17" x14ac:dyDescent="0.25">
      <c r="A161" s="49"/>
      <c r="B161" s="50"/>
      <c r="C161" s="50"/>
      <c r="D161" s="8"/>
      <c r="E161" s="51"/>
      <c r="F161" s="52"/>
      <c r="G161" s="53"/>
      <c r="H161" s="54"/>
      <c r="I161" s="53"/>
      <c r="J161" s="54"/>
      <c r="K161" s="54"/>
      <c r="L161" s="9">
        <f t="shared" si="19"/>
        <v>250000</v>
      </c>
      <c r="M161" s="55"/>
      <c r="N161" s="9">
        <f t="shared" si="22"/>
        <v>250000</v>
      </c>
      <c r="O161" s="53"/>
      <c r="P161" s="4" t="str">
        <f t="shared" si="20"/>
        <v/>
      </c>
      <c r="Q161" s="17" t="str">
        <f t="shared" si="21"/>
        <v/>
      </c>
    </row>
    <row r="162" spans="1:17" x14ac:dyDescent="0.25">
      <c r="A162" s="49"/>
      <c r="B162" s="50"/>
      <c r="C162" s="50"/>
      <c r="D162" s="8"/>
      <c r="E162" s="51"/>
      <c r="F162" s="52"/>
      <c r="G162" s="53"/>
      <c r="H162" s="54"/>
      <c r="I162" s="53"/>
      <c r="J162" s="54"/>
      <c r="K162" s="54"/>
      <c r="L162" s="9">
        <f t="shared" si="19"/>
        <v>250000</v>
      </c>
      <c r="M162" s="55"/>
      <c r="N162" s="9">
        <f t="shared" si="22"/>
        <v>250000</v>
      </c>
      <c r="O162" s="53"/>
      <c r="P162" s="4" t="str">
        <f t="shared" si="20"/>
        <v/>
      </c>
      <c r="Q162" s="17" t="str">
        <f t="shared" si="21"/>
        <v/>
      </c>
    </row>
    <row r="163" spans="1:17" x14ac:dyDescent="0.25">
      <c r="A163" s="49"/>
      <c r="B163" s="50"/>
      <c r="C163" s="50"/>
      <c r="D163" s="8"/>
      <c r="E163" s="51"/>
      <c r="F163" s="52"/>
      <c r="G163" s="53"/>
      <c r="H163" s="54"/>
      <c r="I163" s="53"/>
      <c r="J163" s="54"/>
      <c r="K163" s="54"/>
      <c r="L163" s="9">
        <f t="shared" si="19"/>
        <v>250000</v>
      </c>
      <c r="M163" s="55"/>
      <c r="N163" s="9">
        <f t="shared" si="22"/>
        <v>250000</v>
      </c>
      <c r="O163" s="53"/>
      <c r="P163" s="4" t="str">
        <f t="shared" si="20"/>
        <v/>
      </c>
      <c r="Q163" s="17" t="str">
        <f t="shared" si="21"/>
        <v/>
      </c>
    </row>
    <row r="164" spans="1:17" x14ac:dyDescent="0.25">
      <c r="A164" s="49"/>
      <c r="B164" s="50"/>
      <c r="C164" s="50"/>
      <c r="D164" s="8"/>
      <c r="E164" s="51"/>
      <c r="F164" s="52"/>
      <c r="G164" s="53"/>
      <c r="H164" s="54"/>
      <c r="I164" s="53"/>
      <c r="J164" s="54"/>
      <c r="K164" s="54"/>
      <c r="L164" s="9">
        <f t="shared" si="19"/>
        <v>250000</v>
      </c>
      <c r="M164" s="55"/>
      <c r="N164" s="9">
        <f t="shared" si="22"/>
        <v>250000</v>
      </c>
      <c r="O164" s="53"/>
      <c r="P164" s="4" t="str">
        <f t="shared" si="20"/>
        <v/>
      </c>
      <c r="Q164" s="17" t="str">
        <f t="shared" si="21"/>
        <v/>
      </c>
    </row>
    <row r="165" spans="1:17" x14ac:dyDescent="0.25">
      <c r="A165" s="49"/>
      <c r="B165" s="50"/>
      <c r="C165" s="50"/>
      <c r="D165" s="8"/>
      <c r="E165" s="51"/>
      <c r="F165" s="52"/>
      <c r="G165" s="53"/>
      <c r="H165" s="54"/>
      <c r="I165" s="53"/>
      <c r="J165" s="54"/>
      <c r="K165" s="54"/>
      <c r="L165" s="9">
        <f t="shared" si="19"/>
        <v>250000</v>
      </c>
      <c r="M165" s="55"/>
      <c r="N165" s="9">
        <f t="shared" si="22"/>
        <v>250000</v>
      </c>
      <c r="O165" s="53"/>
      <c r="P165" s="4" t="str">
        <f t="shared" si="20"/>
        <v/>
      </c>
      <c r="Q165" s="17" t="str">
        <f t="shared" si="21"/>
        <v/>
      </c>
    </row>
    <row r="166" spans="1:17" x14ac:dyDescent="0.25">
      <c r="A166" s="49"/>
      <c r="B166" s="50"/>
      <c r="C166" s="50"/>
      <c r="D166" s="8"/>
      <c r="E166" s="51"/>
      <c r="F166" s="52"/>
      <c r="G166" s="53"/>
      <c r="H166" s="54"/>
      <c r="I166" s="53"/>
      <c r="J166" s="54"/>
      <c r="K166" s="54"/>
      <c r="L166" s="9">
        <f t="shared" si="19"/>
        <v>250000</v>
      </c>
      <c r="M166" s="55"/>
      <c r="N166" s="9">
        <f t="shared" si="22"/>
        <v>250000</v>
      </c>
      <c r="O166" s="53"/>
      <c r="P166" s="4" t="str">
        <f t="shared" si="20"/>
        <v/>
      </c>
      <c r="Q166" s="17" t="str">
        <f t="shared" si="21"/>
        <v/>
      </c>
    </row>
    <row r="167" spans="1:17" x14ac:dyDescent="0.25">
      <c r="A167" s="49"/>
      <c r="B167" s="50"/>
      <c r="C167" s="50"/>
      <c r="D167" s="8"/>
      <c r="E167" s="51"/>
      <c r="F167" s="52"/>
      <c r="G167" s="53"/>
      <c r="H167" s="54"/>
      <c r="I167" s="53"/>
      <c r="J167" s="54"/>
      <c r="K167" s="54"/>
      <c r="L167" s="9">
        <f t="shared" ref="L167:L199" si="23">IF(G167="Cameroun", 75000, IF(OR(G167="Gabon", G167="Congo (RDC)", G167="Congo", G167="Tchad", G167="RCA", G167="Guinée Équatoriale"), 150000, IF(G167&lt;&gt;"", 200000, 250000)))</f>
        <v>250000</v>
      </c>
      <c r="M167" s="55"/>
      <c r="N167" s="9">
        <f t="shared" si="22"/>
        <v>250000</v>
      </c>
      <c r="O167" s="53"/>
      <c r="P167" s="4" t="str">
        <f t="shared" ref="P167:P198" si="24">IF(B169="","","Bonjour "&amp;A169&amp;",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67" s="17" t="str">
        <f t="shared" ref="Q167:Q198" si="25">IF(B167="","","https://wa.me/"&amp;SUBSTITUTE(SUBSTITUTE(SUBSTITUTE(B167,"+","")," ",""),"-","")&amp;"?text="&amp;SUBSTITUTE(P167," ","%20"))</f>
        <v/>
      </c>
    </row>
    <row r="168" spans="1:17" x14ac:dyDescent="0.25">
      <c r="A168" s="49"/>
      <c r="B168" s="50"/>
      <c r="C168" s="50"/>
      <c r="D168" s="8"/>
      <c r="E168" s="51"/>
      <c r="F168" s="52"/>
      <c r="G168" s="53"/>
      <c r="H168" s="54"/>
      <c r="I168" s="53"/>
      <c r="J168" s="54"/>
      <c r="K168" s="54"/>
      <c r="L168" s="9">
        <f t="shared" si="23"/>
        <v>250000</v>
      </c>
      <c r="M168" s="55"/>
      <c r="N168" s="9">
        <f t="shared" si="22"/>
        <v>250000</v>
      </c>
      <c r="O168" s="53"/>
      <c r="P168" s="4" t="str">
        <f t="shared" si="24"/>
        <v/>
      </c>
      <c r="Q168" s="17" t="str">
        <f t="shared" si="25"/>
        <v/>
      </c>
    </row>
    <row r="169" spans="1:17" x14ac:dyDescent="0.25">
      <c r="A169" s="49"/>
      <c r="B169" s="50"/>
      <c r="C169" s="50"/>
      <c r="D169" s="8"/>
      <c r="E169" s="51"/>
      <c r="F169" s="52"/>
      <c r="G169" s="53"/>
      <c r="H169" s="54"/>
      <c r="I169" s="53"/>
      <c r="J169" s="54"/>
      <c r="K169" s="54"/>
      <c r="L169" s="9">
        <f t="shared" si="23"/>
        <v>250000</v>
      </c>
      <c r="M169" s="55"/>
      <c r="N169" s="9">
        <f t="shared" si="22"/>
        <v>250000</v>
      </c>
      <c r="O169" s="53"/>
      <c r="P169" s="4" t="str">
        <f t="shared" si="24"/>
        <v/>
      </c>
      <c r="Q169" s="17" t="str">
        <f t="shared" si="25"/>
        <v/>
      </c>
    </row>
    <row r="170" spans="1:17" x14ac:dyDescent="0.25">
      <c r="A170" s="49"/>
      <c r="B170" s="50"/>
      <c r="C170" s="50"/>
      <c r="D170" s="8"/>
      <c r="E170" s="51"/>
      <c r="F170" s="52"/>
      <c r="G170" s="53"/>
      <c r="H170" s="54"/>
      <c r="I170" s="53"/>
      <c r="J170" s="54"/>
      <c r="K170" s="54"/>
      <c r="L170" s="9">
        <f t="shared" si="23"/>
        <v>250000</v>
      </c>
      <c r="M170" s="55"/>
      <c r="N170" s="9">
        <f t="shared" si="22"/>
        <v>250000</v>
      </c>
      <c r="O170" s="53"/>
      <c r="P170" s="4" t="str">
        <f t="shared" si="24"/>
        <v/>
      </c>
      <c r="Q170" s="17" t="str">
        <f t="shared" si="25"/>
        <v/>
      </c>
    </row>
    <row r="171" spans="1:17" x14ac:dyDescent="0.25">
      <c r="A171" s="49"/>
      <c r="B171" s="50"/>
      <c r="C171" s="50"/>
      <c r="D171" s="8"/>
      <c r="E171" s="51"/>
      <c r="F171" s="52"/>
      <c r="G171" s="53"/>
      <c r="H171" s="54"/>
      <c r="I171" s="53"/>
      <c r="J171" s="54"/>
      <c r="K171" s="54"/>
      <c r="L171" s="9">
        <f t="shared" si="23"/>
        <v>250000</v>
      </c>
      <c r="M171" s="55"/>
      <c r="N171" s="9">
        <f t="shared" si="22"/>
        <v>250000</v>
      </c>
      <c r="O171" s="53"/>
      <c r="P171" s="4" t="str">
        <f t="shared" si="24"/>
        <v/>
      </c>
      <c r="Q171" s="17" t="str">
        <f t="shared" si="25"/>
        <v/>
      </c>
    </row>
    <row r="172" spans="1:17" x14ac:dyDescent="0.25">
      <c r="A172" s="49"/>
      <c r="B172" s="50"/>
      <c r="C172" s="50"/>
      <c r="D172" s="8"/>
      <c r="E172" s="51"/>
      <c r="F172" s="52"/>
      <c r="G172" s="53"/>
      <c r="H172" s="54"/>
      <c r="I172" s="53"/>
      <c r="J172" s="54"/>
      <c r="K172" s="54"/>
      <c r="L172" s="9">
        <f t="shared" si="23"/>
        <v>250000</v>
      </c>
      <c r="M172" s="55"/>
      <c r="N172" s="9">
        <f t="shared" si="22"/>
        <v>250000</v>
      </c>
      <c r="O172" s="53"/>
      <c r="P172" s="4" t="str">
        <f t="shared" si="24"/>
        <v/>
      </c>
      <c r="Q172" s="17" t="str">
        <f t="shared" si="25"/>
        <v/>
      </c>
    </row>
    <row r="173" spans="1:17" x14ac:dyDescent="0.25">
      <c r="A173" s="49"/>
      <c r="B173" s="50"/>
      <c r="C173" s="50"/>
      <c r="D173" s="8"/>
      <c r="E173" s="51"/>
      <c r="F173" s="52"/>
      <c r="G173" s="53"/>
      <c r="H173" s="54"/>
      <c r="I173" s="53"/>
      <c r="J173" s="54"/>
      <c r="K173" s="54"/>
      <c r="L173" s="9">
        <f t="shared" si="23"/>
        <v>250000</v>
      </c>
      <c r="M173" s="55"/>
      <c r="N173" s="9">
        <f t="shared" si="22"/>
        <v>250000</v>
      </c>
      <c r="O173" s="53"/>
      <c r="P173" s="4" t="str">
        <f t="shared" si="24"/>
        <v/>
      </c>
      <c r="Q173" s="17" t="str">
        <f t="shared" si="25"/>
        <v/>
      </c>
    </row>
    <row r="174" spans="1:17" x14ac:dyDescent="0.25">
      <c r="A174" s="49"/>
      <c r="B174" s="50"/>
      <c r="C174" s="50"/>
      <c r="D174" s="8"/>
      <c r="E174" s="51"/>
      <c r="F174" s="52"/>
      <c r="G174" s="53"/>
      <c r="H174" s="54"/>
      <c r="I174" s="53"/>
      <c r="J174" s="54"/>
      <c r="K174" s="54"/>
      <c r="L174" s="9">
        <f t="shared" si="23"/>
        <v>250000</v>
      </c>
      <c r="M174" s="55"/>
      <c r="N174" s="9">
        <f t="shared" si="22"/>
        <v>250000</v>
      </c>
      <c r="O174" s="53"/>
      <c r="P174" s="4" t="str">
        <f t="shared" si="24"/>
        <v/>
      </c>
      <c r="Q174" s="17" t="str">
        <f t="shared" si="25"/>
        <v/>
      </c>
    </row>
    <row r="175" spans="1:17" x14ac:dyDescent="0.25">
      <c r="A175" s="49"/>
      <c r="B175" s="50"/>
      <c r="C175" s="50"/>
      <c r="D175" s="8"/>
      <c r="E175" s="51"/>
      <c r="F175" s="52"/>
      <c r="G175" s="53"/>
      <c r="H175" s="54"/>
      <c r="I175" s="53"/>
      <c r="J175" s="54"/>
      <c r="K175" s="54"/>
      <c r="L175" s="9">
        <f t="shared" si="23"/>
        <v>250000</v>
      </c>
      <c r="M175" s="55"/>
      <c r="N175" s="9">
        <f t="shared" si="22"/>
        <v>250000</v>
      </c>
      <c r="O175" s="53"/>
      <c r="P175" s="4" t="str">
        <f t="shared" si="24"/>
        <v/>
      </c>
      <c r="Q175" s="17" t="str">
        <f t="shared" si="25"/>
        <v/>
      </c>
    </row>
    <row r="176" spans="1:17" x14ac:dyDescent="0.25">
      <c r="A176" s="49"/>
      <c r="B176" s="50"/>
      <c r="C176" s="50"/>
      <c r="D176" s="8"/>
      <c r="E176" s="51"/>
      <c r="F176" s="52"/>
      <c r="G176" s="53"/>
      <c r="H176" s="54"/>
      <c r="I176" s="53"/>
      <c r="J176" s="54"/>
      <c r="K176" s="54"/>
      <c r="L176" s="9">
        <f t="shared" si="23"/>
        <v>250000</v>
      </c>
      <c r="M176" s="55"/>
      <c r="N176" s="9">
        <f t="shared" si="22"/>
        <v>250000</v>
      </c>
      <c r="O176" s="53"/>
      <c r="P176" s="4" t="str">
        <f t="shared" si="24"/>
        <v/>
      </c>
      <c r="Q176" s="17" t="str">
        <f t="shared" si="25"/>
        <v/>
      </c>
    </row>
    <row r="177" spans="1:17" x14ac:dyDescent="0.25">
      <c r="A177" s="49"/>
      <c r="B177" s="50"/>
      <c r="C177" s="50"/>
      <c r="D177" s="8"/>
      <c r="E177" s="51"/>
      <c r="F177" s="52"/>
      <c r="G177" s="53"/>
      <c r="H177" s="54"/>
      <c r="I177" s="53"/>
      <c r="J177" s="54"/>
      <c r="K177" s="54"/>
      <c r="L177" s="9">
        <f t="shared" si="23"/>
        <v>250000</v>
      </c>
      <c r="M177" s="55"/>
      <c r="N177" s="9">
        <f t="shared" si="22"/>
        <v>250000</v>
      </c>
      <c r="O177" s="53"/>
      <c r="P177" s="4" t="str">
        <f t="shared" si="24"/>
        <v/>
      </c>
      <c r="Q177" s="17" t="str">
        <f t="shared" si="25"/>
        <v/>
      </c>
    </row>
    <row r="178" spans="1:17" x14ac:dyDescent="0.25">
      <c r="A178" s="49"/>
      <c r="B178" s="50"/>
      <c r="C178" s="50"/>
      <c r="D178" s="8"/>
      <c r="E178" s="51"/>
      <c r="F178" s="52"/>
      <c r="G178" s="53"/>
      <c r="H178" s="54"/>
      <c r="I178" s="53"/>
      <c r="J178" s="54"/>
      <c r="K178" s="54"/>
      <c r="L178" s="9">
        <f t="shared" si="23"/>
        <v>250000</v>
      </c>
      <c r="M178" s="55"/>
      <c r="N178" s="9">
        <f t="shared" si="22"/>
        <v>250000</v>
      </c>
      <c r="O178" s="53"/>
      <c r="P178" s="4" t="str">
        <f t="shared" si="24"/>
        <v/>
      </c>
      <c r="Q178" s="17" t="str">
        <f t="shared" si="25"/>
        <v/>
      </c>
    </row>
    <row r="179" spans="1:17" x14ac:dyDescent="0.25">
      <c r="A179" s="49"/>
      <c r="B179" s="50"/>
      <c r="C179" s="50"/>
      <c r="D179" s="8"/>
      <c r="E179" s="51"/>
      <c r="F179" s="52"/>
      <c r="G179" s="53"/>
      <c r="H179" s="54"/>
      <c r="I179" s="53"/>
      <c r="J179" s="54"/>
      <c r="K179" s="54"/>
      <c r="L179" s="9">
        <f t="shared" si="23"/>
        <v>250000</v>
      </c>
      <c r="M179" s="55"/>
      <c r="N179" s="9">
        <f t="shared" si="22"/>
        <v>250000</v>
      </c>
      <c r="O179" s="53"/>
      <c r="P179" s="4" t="str">
        <f t="shared" si="24"/>
        <v/>
      </c>
      <c r="Q179" s="17" t="str">
        <f t="shared" si="25"/>
        <v/>
      </c>
    </row>
    <row r="180" spans="1:17" x14ac:dyDescent="0.25">
      <c r="A180" s="49"/>
      <c r="B180" s="50"/>
      <c r="C180" s="50"/>
      <c r="D180" s="8"/>
      <c r="E180" s="51"/>
      <c r="F180" s="52"/>
      <c r="G180" s="53"/>
      <c r="H180" s="54"/>
      <c r="I180" s="53"/>
      <c r="J180" s="54"/>
      <c r="K180" s="54"/>
      <c r="L180" s="9">
        <f t="shared" si="23"/>
        <v>250000</v>
      </c>
      <c r="M180" s="55"/>
      <c r="N180" s="9">
        <f t="shared" si="22"/>
        <v>250000</v>
      </c>
      <c r="O180" s="53"/>
      <c r="P180" s="4" t="str">
        <f t="shared" si="24"/>
        <v/>
      </c>
      <c r="Q180" s="17" t="str">
        <f t="shared" si="25"/>
        <v/>
      </c>
    </row>
    <row r="181" spans="1:17" x14ac:dyDescent="0.25">
      <c r="A181" s="49"/>
      <c r="B181" s="50"/>
      <c r="C181" s="50"/>
      <c r="D181" s="8"/>
      <c r="E181" s="51"/>
      <c r="F181" s="52"/>
      <c r="G181" s="53"/>
      <c r="H181" s="54"/>
      <c r="I181" s="53"/>
      <c r="J181" s="54"/>
      <c r="K181" s="54"/>
      <c r="L181" s="9">
        <f t="shared" si="23"/>
        <v>250000</v>
      </c>
      <c r="M181" s="55"/>
      <c r="N181" s="9">
        <f t="shared" si="22"/>
        <v>250000</v>
      </c>
      <c r="O181" s="53"/>
      <c r="P181" s="4" t="str">
        <f t="shared" si="24"/>
        <v/>
      </c>
      <c r="Q181" s="17" t="str">
        <f t="shared" si="25"/>
        <v/>
      </c>
    </row>
    <row r="182" spans="1:17" x14ac:dyDescent="0.25">
      <c r="A182" s="49"/>
      <c r="B182" s="50"/>
      <c r="C182" s="50"/>
      <c r="D182" s="8"/>
      <c r="E182" s="51"/>
      <c r="F182" s="52"/>
      <c r="G182" s="53"/>
      <c r="H182" s="54"/>
      <c r="I182" s="53"/>
      <c r="J182" s="54"/>
      <c r="K182" s="54"/>
      <c r="L182" s="9">
        <f t="shared" si="23"/>
        <v>250000</v>
      </c>
      <c r="M182" s="55"/>
      <c r="N182" s="9">
        <f t="shared" si="22"/>
        <v>250000</v>
      </c>
      <c r="O182" s="53"/>
      <c r="P182" s="4" t="str">
        <f t="shared" si="24"/>
        <v/>
      </c>
      <c r="Q182" s="17" t="str">
        <f t="shared" si="25"/>
        <v/>
      </c>
    </row>
    <row r="183" spans="1:17" x14ac:dyDescent="0.25">
      <c r="A183" s="49"/>
      <c r="B183" s="50"/>
      <c r="C183" s="50"/>
      <c r="D183" s="8"/>
      <c r="E183" s="51"/>
      <c r="F183" s="52"/>
      <c r="G183" s="53"/>
      <c r="H183" s="54"/>
      <c r="I183" s="53"/>
      <c r="J183" s="54"/>
      <c r="K183" s="54"/>
      <c r="L183" s="9">
        <f t="shared" si="23"/>
        <v>250000</v>
      </c>
      <c r="M183" s="55"/>
      <c r="N183" s="9">
        <f t="shared" si="22"/>
        <v>250000</v>
      </c>
      <c r="O183" s="53"/>
      <c r="P183" s="4" t="str">
        <f t="shared" si="24"/>
        <v/>
      </c>
      <c r="Q183" s="17" t="str">
        <f t="shared" si="25"/>
        <v/>
      </c>
    </row>
    <row r="184" spans="1:17" x14ac:dyDescent="0.25">
      <c r="A184" s="49"/>
      <c r="B184" s="50"/>
      <c r="C184" s="50"/>
      <c r="D184" s="8"/>
      <c r="E184" s="51"/>
      <c r="F184" s="52"/>
      <c r="G184" s="53"/>
      <c r="H184" s="54"/>
      <c r="I184" s="53"/>
      <c r="J184" s="54"/>
      <c r="K184" s="54"/>
      <c r="L184" s="9">
        <f t="shared" si="23"/>
        <v>250000</v>
      </c>
      <c r="M184" s="55"/>
      <c r="N184" s="9">
        <f t="shared" si="22"/>
        <v>250000</v>
      </c>
      <c r="O184" s="53"/>
      <c r="P184" s="4" t="str">
        <f t="shared" si="24"/>
        <v/>
      </c>
      <c r="Q184" s="17" t="str">
        <f t="shared" si="25"/>
        <v/>
      </c>
    </row>
    <row r="185" spans="1:17" x14ac:dyDescent="0.25">
      <c r="A185" s="49"/>
      <c r="B185" s="50"/>
      <c r="C185" s="50"/>
      <c r="D185" s="8"/>
      <c r="E185" s="51"/>
      <c r="F185" s="52"/>
      <c r="G185" s="53"/>
      <c r="H185" s="54"/>
      <c r="I185" s="53"/>
      <c r="J185" s="54"/>
      <c r="K185" s="54"/>
      <c r="L185" s="9">
        <f t="shared" si="23"/>
        <v>250000</v>
      </c>
      <c r="M185" s="55"/>
      <c r="N185" s="9">
        <f t="shared" si="22"/>
        <v>250000</v>
      </c>
      <c r="O185" s="53"/>
      <c r="P185" s="4" t="str">
        <f t="shared" si="24"/>
        <v/>
      </c>
      <c r="Q185" s="17" t="str">
        <f t="shared" si="25"/>
        <v/>
      </c>
    </row>
    <row r="186" spans="1:17" x14ac:dyDescent="0.25">
      <c r="A186" s="49"/>
      <c r="B186" s="50"/>
      <c r="C186" s="50"/>
      <c r="D186" s="8"/>
      <c r="E186" s="51"/>
      <c r="F186" s="52"/>
      <c r="G186" s="53"/>
      <c r="H186" s="54"/>
      <c r="I186" s="53"/>
      <c r="J186" s="54"/>
      <c r="K186" s="54"/>
      <c r="L186" s="9">
        <f t="shared" si="23"/>
        <v>250000</v>
      </c>
      <c r="M186" s="55"/>
      <c r="N186" s="9">
        <f t="shared" si="22"/>
        <v>250000</v>
      </c>
      <c r="O186" s="53"/>
      <c r="P186" s="4" t="str">
        <f t="shared" si="24"/>
        <v/>
      </c>
      <c r="Q186" s="17" t="str">
        <f t="shared" si="25"/>
        <v/>
      </c>
    </row>
    <row r="187" spans="1:17" x14ac:dyDescent="0.25">
      <c r="A187" s="49"/>
      <c r="B187" s="50"/>
      <c r="C187" s="50"/>
      <c r="D187" s="8"/>
      <c r="E187" s="51"/>
      <c r="F187" s="52"/>
      <c r="G187" s="53"/>
      <c r="H187" s="54"/>
      <c r="I187" s="53"/>
      <c r="J187" s="54"/>
      <c r="K187" s="54"/>
      <c r="L187" s="9">
        <f t="shared" si="23"/>
        <v>250000</v>
      </c>
      <c r="M187" s="55"/>
      <c r="N187" s="9">
        <f t="shared" si="22"/>
        <v>250000</v>
      </c>
      <c r="O187" s="53"/>
      <c r="P187" s="4" t="str">
        <f t="shared" si="24"/>
        <v/>
      </c>
      <c r="Q187" s="17" t="str">
        <f t="shared" si="25"/>
        <v/>
      </c>
    </row>
    <row r="188" spans="1:17" x14ac:dyDescent="0.25">
      <c r="A188" s="49"/>
      <c r="B188" s="50"/>
      <c r="C188" s="50"/>
      <c r="D188" s="8"/>
      <c r="E188" s="51"/>
      <c r="F188" s="52"/>
      <c r="G188" s="53"/>
      <c r="H188" s="54"/>
      <c r="I188" s="53"/>
      <c r="J188" s="54"/>
      <c r="K188" s="54"/>
      <c r="L188" s="9">
        <f t="shared" si="23"/>
        <v>250000</v>
      </c>
      <c r="M188" s="55"/>
      <c r="N188" s="9">
        <f t="shared" si="22"/>
        <v>250000</v>
      </c>
      <c r="O188" s="53"/>
      <c r="P188" s="4" t="str">
        <f t="shared" si="24"/>
        <v/>
      </c>
      <c r="Q188" s="17" t="str">
        <f t="shared" si="25"/>
        <v/>
      </c>
    </row>
    <row r="189" spans="1:17" x14ac:dyDescent="0.25">
      <c r="A189" s="49"/>
      <c r="B189" s="50"/>
      <c r="C189" s="50"/>
      <c r="D189" s="8"/>
      <c r="E189" s="51"/>
      <c r="F189" s="52"/>
      <c r="G189" s="53"/>
      <c r="H189" s="54"/>
      <c r="I189" s="53"/>
      <c r="J189" s="54"/>
      <c r="K189" s="54"/>
      <c r="L189" s="9">
        <f t="shared" si="23"/>
        <v>250000</v>
      </c>
      <c r="M189" s="55"/>
      <c r="N189" s="9">
        <f t="shared" ref="N189:N199" si="26">L189-M189</f>
        <v>250000</v>
      </c>
      <c r="O189" s="53"/>
      <c r="P189" s="4" t="str">
        <f t="shared" si="24"/>
        <v/>
      </c>
      <c r="Q189" s="17" t="str">
        <f t="shared" si="25"/>
        <v/>
      </c>
    </row>
    <row r="190" spans="1:17" x14ac:dyDescent="0.25">
      <c r="A190" s="49"/>
      <c r="B190" s="50"/>
      <c r="C190" s="50"/>
      <c r="D190" s="8"/>
      <c r="E190" s="51"/>
      <c r="F190" s="52"/>
      <c r="G190" s="53"/>
      <c r="H190" s="54"/>
      <c r="I190" s="53"/>
      <c r="J190" s="54"/>
      <c r="K190" s="54"/>
      <c r="L190" s="9">
        <f t="shared" si="23"/>
        <v>250000</v>
      </c>
      <c r="M190" s="55"/>
      <c r="N190" s="9">
        <f t="shared" si="26"/>
        <v>250000</v>
      </c>
      <c r="O190" s="53"/>
      <c r="P190" s="4" t="str">
        <f t="shared" si="24"/>
        <v/>
      </c>
      <c r="Q190" s="17" t="str">
        <f t="shared" si="25"/>
        <v/>
      </c>
    </row>
    <row r="191" spans="1:17" x14ac:dyDescent="0.25">
      <c r="A191" s="49"/>
      <c r="B191" s="50"/>
      <c r="C191" s="50"/>
      <c r="D191" s="8"/>
      <c r="E191" s="51"/>
      <c r="F191" s="52"/>
      <c r="G191" s="53"/>
      <c r="H191" s="54"/>
      <c r="I191" s="53"/>
      <c r="J191" s="54"/>
      <c r="K191" s="54"/>
      <c r="L191" s="9">
        <f t="shared" si="23"/>
        <v>250000</v>
      </c>
      <c r="M191" s="55"/>
      <c r="N191" s="9">
        <f t="shared" si="26"/>
        <v>250000</v>
      </c>
      <c r="O191" s="53"/>
      <c r="P191" s="4" t="str">
        <f t="shared" si="24"/>
        <v/>
      </c>
      <c r="Q191" s="17" t="str">
        <f t="shared" si="25"/>
        <v/>
      </c>
    </row>
    <row r="192" spans="1:17" x14ac:dyDescent="0.25">
      <c r="A192" s="49"/>
      <c r="B192" s="50"/>
      <c r="C192" s="50"/>
      <c r="D192" s="8"/>
      <c r="E192" s="51"/>
      <c r="F192" s="52"/>
      <c r="G192" s="53"/>
      <c r="H192" s="54"/>
      <c r="I192" s="53"/>
      <c r="J192" s="54"/>
      <c r="K192" s="54"/>
      <c r="L192" s="9">
        <f t="shared" si="23"/>
        <v>250000</v>
      </c>
      <c r="M192" s="55"/>
      <c r="N192" s="9">
        <f t="shared" si="26"/>
        <v>250000</v>
      </c>
      <c r="O192" s="53"/>
      <c r="P192" s="4" t="str">
        <f t="shared" si="24"/>
        <v/>
      </c>
      <c r="Q192" s="17" t="str">
        <f t="shared" si="25"/>
        <v/>
      </c>
    </row>
    <row r="193" spans="1:17" x14ac:dyDescent="0.25">
      <c r="A193" s="49"/>
      <c r="B193" s="50"/>
      <c r="C193" s="50"/>
      <c r="D193" s="8"/>
      <c r="E193" s="51"/>
      <c r="F193" s="52"/>
      <c r="G193" s="53"/>
      <c r="H193" s="54"/>
      <c r="I193" s="53"/>
      <c r="J193" s="54"/>
      <c r="K193" s="54"/>
      <c r="L193" s="9">
        <f t="shared" si="23"/>
        <v>250000</v>
      </c>
      <c r="M193" s="55"/>
      <c r="N193" s="9">
        <f t="shared" si="26"/>
        <v>250000</v>
      </c>
      <c r="O193" s="53"/>
      <c r="P193" s="4" t="str">
        <f t="shared" si="24"/>
        <v/>
      </c>
      <c r="Q193" s="17" t="str">
        <f t="shared" si="25"/>
        <v/>
      </c>
    </row>
    <row r="194" spans="1:17" x14ac:dyDescent="0.25">
      <c r="A194" s="49"/>
      <c r="B194" s="50"/>
      <c r="C194" s="50"/>
      <c r="D194" s="8"/>
      <c r="E194" s="51"/>
      <c r="F194" s="52"/>
      <c r="G194" s="53"/>
      <c r="H194" s="54"/>
      <c r="I194" s="53"/>
      <c r="J194" s="54"/>
      <c r="K194" s="54"/>
      <c r="L194" s="9">
        <f t="shared" si="23"/>
        <v>250000</v>
      </c>
      <c r="M194" s="55"/>
      <c r="N194" s="9">
        <f t="shared" si="26"/>
        <v>250000</v>
      </c>
      <c r="O194" s="53"/>
      <c r="P194" s="4" t="str">
        <f t="shared" si="24"/>
        <v/>
      </c>
      <c r="Q194" s="17" t="str">
        <f t="shared" si="25"/>
        <v/>
      </c>
    </row>
    <row r="195" spans="1:17" x14ac:dyDescent="0.25">
      <c r="A195" s="49"/>
      <c r="B195" s="50"/>
      <c r="C195" s="50"/>
      <c r="D195" s="8"/>
      <c r="E195" s="51"/>
      <c r="F195" s="52"/>
      <c r="G195" s="53"/>
      <c r="H195" s="54"/>
      <c r="I195" s="53"/>
      <c r="J195" s="54"/>
      <c r="K195" s="54"/>
      <c r="L195" s="9">
        <f t="shared" si="23"/>
        <v>250000</v>
      </c>
      <c r="M195" s="55"/>
      <c r="N195" s="9">
        <f t="shared" si="26"/>
        <v>250000</v>
      </c>
      <c r="O195" s="53"/>
      <c r="P195" s="4" t="str">
        <f t="shared" si="24"/>
        <v/>
      </c>
      <c r="Q195" s="17" t="str">
        <f t="shared" si="25"/>
        <v/>
      </c>
    </row>
    <row r="196" spans="1:17" x14ac:dyDescent="0.25">
      <c r="A196" s="49"/>
      <c r="B196" s="50"/>
      <c r="C196" s="50"/>
      <c r="D196" s="8"/>
      <c r="E196" s="51"/>
      <c r="F196" s="52"/>
      <c r="G196" s="53"/>
      <c r="H196" s="54"/>
      <c r="I196" s="53"/>
      <c r="J196" s="54"/>
      <c r="K196" s="54"/>
      <c r="L196" s="9">
        <f t="shared" si="23"/>
        <v>250000</v>
      </c>
      <c r="M196" s="55"/>
      <c r="N196" s="9">
        <f t="shared" si="26"/>
        <v>250000</v>
      </c>
      <c r="O196" s="53"/>
      <c r="P196" s="4" t="str">
        <f t="shared" si="24"/>
        <v/>
      </c>
      <c r="Q196" s="17" t="str">
        <f t="shared" si="25"/>
        <v/>
      </c>
    </row>
    <row r="197" spans="1:17" x14ac:dyDescent="0.25">
      <c r="A197" s="49"/>
      <c r="B197" s="50"/>
      <c r="C197" s="50"/>
      <c r="D197" s="8"/>
      <c r="E197" s="51"/>
      <c r="F197" s="52"/>
      <c r="G197" s="53"/>
      <c r="H197" s="54"/>
      <c r="I197" s="53"/>
      <c r="J197" s="54"/>
      <c r="K197" s="54"/>
      <c r="L197" s="9">
        <f t="shared" si="23"/>
        <v>250000</v>
      </c>
      <c r="M197" s="55"/>
      <c r="N197" s="9">
        <f t="shared" si="26"/>
        <v>250000</v>
      </c>
      <c r="O197" s="53"/>
      <c r="P197" s="4" t="str">
        <f t="shared" si="24"/>
        <v/>
      </c>
      <c r="Q197" s="17" t="str">
        <f t="shared" si="25"/>
        <v/>
      </c>
    </row>
    <row r="198" spans="1:17" x14ac:dyDescent="0.25">
      <c r="A198" s="49"/>
      <c r="B198" s="50"/>
      <c r="C198" s="50"/>
      <c r="D198" s="8"/>
      <c r="E198" s="51"/>
      <c r="F198" s="52"/>
      <c r="G198" s="53"/>
      <c r="H198" s="54"/>
      <c r="I198" s="53"/>
      <c r="J198" s="54"/>
      <c r="K198" s="54"/>
      <c r="L198" s="9">
        <f t="shared" si="23"/>
        <v>250000</v>
      </c>
      <c r="M198" s="55"/>
      <c r="N198" s="9">
        <f t="shared" si="26"/>
        <v>250000</v>
      </c>
      <c r="O198" s="53"/>
      <c r="P198" s="4" t="str">
        <f t="shared" si="24"/>
        <v/>
      </c>
      <c r="Q198" s="17" t="str">
        <f t="shared" si="25"/>
        <v/>
      </c>
    </row>
    <row r="199" spans="1:17" x14ac:dyDescent="0.25">
      <c r="A199" s="49"/>
      <c r="B199" s="50"/>
      <c r="C199" s="50"/>
      <c r="D199" s="8"/>
      <c r="E199" s="51"/>
      <c r="F199" s="52"/>
      <c r="G199" s="53"/>
      <c r="H199" s="54"/>
      <c r="I199" s="53"/>
      <c r="J199" s="54"/>
      <c r="K199" s="54"/>
      <c r="L199" s="9">
        <f t="shared" si="23"/>
        <v>250000</v>
      </c>
      <c r="M199" s="55"/>
      <c r="N199" s="9">
        <f t="shared" si="26"/>
        <v>250000</v>
      </c>
      <c r="O199" s="53"/>
      <c r="P199" s="4" t="str">
        <f t="shared" ref="P199" si="27">IF(B201="","","Bonjour "&amp;A201&amp;",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99" s="17" t="str">
        <f t="shared" ref="Q199" si="28">IF(B199="","","https://wa.me/"&amp;SUBSTITUTE(SUBSTITUTE(SUBSTITUTE(B199,"+","")," ",""),"-","")&amp;"?text="&amp;SUBSTITUTE(P199," ","%20"))</f>
        <v/>
      </c>
    </row>
  </sheetData>
  <sheetProtection algorithmName="SHA-512" hashValue="eyf6ZSd65oFoy5BwbMJlgCnuwaCYypI1/jADI/vTdgfQVjFAd6EIv98elbqpqieJY+GD6Ay7NHwXYad7FyeRyw==" saltValue="Vqk15n5AzOkkFOV8PqLk9w==" spinCount="100000" sheet="1" objects="1" scenarios="1"/>
  <mergeCells count="12">
    <mergeCell ref="A1:S1"/>
    <mergeCell ref="A2:S2"/>
    <mergeCell ref="A4:B4"/>
    <mergeCell ref="H4:I4"/>
    <mergeCell ref="K4:L4"/>
    <mergeCell ref="M4:N4"/>
    <mergeCell ref="O4:S4"/>
    <mergeCell ref="A5:B5"/>
    <mergeCell ref="H5:I5"/>
    <mergeCell ref="K5:L5"/>
    <mergeCell ref="M5:N5"/>
    <mergeCell ref="O5:S5"/>
  </mergeCells>
  <phoneticPr fontId="10" type="noConversion"/>
  <conditionalFormatting sqref="D8:D199">
    <cfRule type="containsText" dxfId="31" priority="2" operator="containsText" text="Relance à J-7">
      <formula>NOT(ISERROR(SEARCH("Relance à J-7",D8)))</formula>
    </cfRule>
    <cfRule type="containsText" dxfId="30" priority="5" operator="containsText" text="Urgent (J-0)">
      <formula>NOT(ISERROR(SEARCH("Urgent (J-0)",D8)))</formula>
    </cfRule>
    <cfRule type="containsText" dxfId="29" priority="6" operator="containsText" text="Déjà relancé">
      <formula>NOT(ISERROR(SEARCH("Déjà relancé",D8)))</formula>
    </cfRule>
  </conditionalFormatting>
  <conditionalFormatting sqref="D7:D199">
    <cfRule type="containsText" dxfId="28" priority="1" operator="containsText" text="Relance à &gt;7jours">
      <formula>NOT(ISERROR(SEARCH("Relance à &gt;7jours",D7)))</formula>
    </cfRule>
    <cfRule type="containsText" dxfId="27" priority="4" operator="containsText" text="Déjà relancé">
      <formula>NOT(ISERROR(SEARCH("Déjà relancé",D7)))</formula>
    </cfRule>
  </conditionalFormatting>
  <conditionalFormatting sqref="D8:D28">
    <cfRule type="containsText" dxfId="26" priority="3" operator="containsText" text="relance à J-7">
      <formula>NOT(ISERROR(SEARCH("relance à J-7",D8)))</formula>
    </cfRule>
  </conditionalFormatting>
  <dataValidations count="6">
    <dataValidation type="list" allowBlank="1" sqref="Q200:Q222 O8:O199" xr:uid="{00000000-0002-0000-0300-000000000000}">
      <formula1>"Oui, Non, En cours"</formula1>
    </dataValidation>
    <dataValidation type="list" allowBlank="1" sqref="K200:K222 I9:I199" xr:uid="{00000000-0002-0000-0300-000001000000}">
      <formula1>"0% - Non débuté, 25% - En rédaction, 50% - Relecture, 75% - En révision, 100% - Terminé"</formula1>
    </dataValidation>
    <dataValidation type="list" allowBlank="1" sqref="I8" xr:uid="{00000000-0002-0000-0300-000002000000}">
      <formula1>"0% - Non débuté, 25% - En rédaction, 50% - Relecture / Évaluation, 75% - En révision / Corrections, 100% - Publié / Validé"</formula1>
    </dataValidation>
    <dataValidation type="custom" allowBlank="1" showInputMessage="1" showErrorMessage="1" error="Veuillez saisir un montant multiple de 5000 FCFA" sqref="M8:M199" xr:uid="{00000000-0002-0000-0300-000003000000}">
      <formula1>MOD(M8,5000)=0</formula1>
    </dataValidation>
    <dataValidation type="date" operator="lessThanOrEqual" allowBlank="1" showInputMessage="1" showErrorMessage="1" errorTitle="Date Invalide" error="Vous ne pouvez pas entrer une date future pour une relance déjà effectuée." sqref="F8:F199" xr:uid="{00000000-0002-0000-0300-000004000000}">
      <formula1>TODAY()</formula1>
    </dataValidation>
    <dataValidation type="whole" operator="greaterThanOrEqual" allowBlank="1" showInputMessage="1" showErrorMessage="1" errorTitle="Nombre invalide" error="Vous ne pouvez pas entrer un nombre négatif!" sqref="E8:E199" xr:uid="{00000000-0002-0000-0300-000005000000}">
      <formula1>0</formula1>
    </dataValidation>
  </dataValidations>
  <pageMargins left="0.75" right="0.75" top="1" bottom="1" header="0.5" footer="0.5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300-000006000000}">
          <x14:formula1>
            <xm:f>Parametres!$A$2:$A$55</xm:f>
          </x14:formula1>
          <xm:sqref>H200:H222 G8:G199</xm:sqref>
        </x14:dataValidation>
        <x14:dataValidation type="list" allowBlank="1" showInputMessage="1" showErrorMessage="1" xr:uid="{00000000-0002-0000-0300-000007000000}">
          <x14:formula1>
            <xm:f>'Tâches restantes'!$A$2:$A$6</xm:f>
          </x14:formula1>
          <xm:sqref>K8:K199</xm:sqref>
        </x14:dataValidation>
        <x14:dataValidation type="list" allowBlank="1" showInputMessage="1" showErrorMessage="1" xr:uid="{00000000-0002-0000-0300-000008000000}">
          <x14:formula1>
            <xm:f>'Tâches déjà effectuées'!$A$2:$A$13</xm:f>
          </x14:formula1>
          <xm:sqref>J7:J199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12"/>
  <sheetViews>
    <sheetView workbookViewId="0">
      <selection activeCell="D15" sqref="D15"/>
    </sheetView>
  </sheetViews>
  <sheetFormatPr baseColWidth="10" defaultRowHeight="15" x14ac:dyDescent="0.25"/>
  <cols>
    <col min="1" max="16384" width="11.42578125" style="2"/>
  </cols>
  <sheetData>
    <row r="1" spans="1:1" x14ac:dyDescent="0.25">
      <c r="A1" s="2" t="s">
        <v>120</v>
      </c>
    </row>
    <row r="2" spans="1:1" x14ac:dyDescent="0.25">
      <c r="A2" s="2" t="s">
        <v>121</v>
      </c>
    </row>
    <row r="3" spans="1:1" x14ac:dyDescent="0.25">
      <c r="A3" s="2" t="s">
        <v>123</v>
      </c>
    </row>
    <row r="4" spans="1:1" x14ac:dyDescent="0.25">
      <c r="A4" s="2" t="s">
        <v>142</v>
      </c>
    </row>
    <row r="5" spans="1:1" x14ac:dyDescent="0.25">
      <c r="A5" s="2" t="s">
        <v>143</v>
      </c>
    </row>
    <row r="6" spans="1:1" x14ac:dyDescent="0.25">
      <c r="A6" s="2" t="s">
        <v>122</v>
      </c>
    </row>
    <row r="7" spans="1:1" x14ac:dyDescent="0.25">
      <c r="A7" s="2" t="s">
        <v>144</v>
      </c>
    </row>
    <row r="8" spans="1:1" x14ac:dyDescent="0.25">
      <c r="A8" s="2" t="s">
        <v>145</v>
      </c>
    </row>
    <row r="9" spans="1:1" x14ac:dyDescent="0.25">
      <c r="A9" s="2" t="s">
        <v>146</v>
      </c>
    </row>
    <row r="10" spans="1:1" x14ac:dyDescent="0.25">
      <c r="A10" s="2" t="s">
        <v>147</v>
      </c>
    </row>
    <row r="11" spans="1:1" x14ac:dyDescent="0.25">
      <c r="A11" s="2" t="s">
        <v>148</v>
      </c>
    </row>
    <row r="12" spans="1:1" x14ac:dyDescent="0.25">
      <c r="A12" s="2" t="s">
        <v>149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A9"/>
  <sheetViews>
    <sheetView workbookViewId="0">
      <selection activeCell="D4" sqref="D4"/>
    </sheetView>
  </sheetViews>
  <sheetFormatPr baseColWidth="10" defaultRowHeight="15" x14ac:dyDescent="0.25"/>
  <cols>
    <col min="1" max="16384" width="11.42578125" style="2"/>
  </cols>
  <sheetData>
    <row r="1" spans="1:1" x14ac:dyDescent="0.25">
      <c r="A1" s="2" t="s">
        <v>124</v>
      </c>
    </row>
    <row r="2" spans="1:1" x14ac:dyDescent="0.25">
      <c r="A2" s="2" t="s">
        <v>125</v>
      </c>
    </row>
    <row r="3" spans="1:1" x14ac:dyDescent="0.25">
      <c r="A3" s="2" t="s">
        <v>127</v>
      </c>
    </row>
    <row r="4" spans="1:1" x14ac:dyDescent="0.25">
      <c r="A4" s="2" t="s">
        <v>140</v>
      </c>
    </row>
    <row r="5" spans="1:1" x14ac:dyDescent="0.25">
      <c r="A5" s="2" t="s">
        <v>128</v>
      </c>
    </row>
    <row r="6" spans="1:1" x14ac:dyDescent="0.25">
      <c r="A6" s="2" t="s">
        <v>129</v>
      </c>
    </row>
    <row r="7" spans="1:1" x14ac:dyDescent="0.25">
      <c r="A7" s="2" t="s">
        <v>139</v>
      </c>
    </row>
    <row r="8" spans="1:1" x14ac:dyDescent="0.25">
      <c r="A8" s="2" t="s">
        <v>138</v>
      </c>
    </row>
    <row r="9" spans="1:1" x14ac:dyDescent="0.25">
      <c r="A9" s="2" t="s">
        <v>141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6"/>
  <dimension ref="B2:I19"/>
  <sheetViews>
    <sheetView workbookViewId="0"/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0" t="s">
        <v>153</v>
      </c>
      <c r="C2" s="80"/>
      <c r="D2" s="80"/>
      <c r="E2" s="80"/>
      <c r="F2" s="80"/>
      <c r="G2" s="80"/>
      <c r="H2" s="80"/>
      <c r="I2" s="80"/>
    </row>
    <row r="4" spans="2:9" x14ac:dyDescent="0.25">
      <c r="B4" s="81" t="s">
        <v>154</v>
      </c>
      <c r="C4" s="81"/>
      <c r="D4" s="81" t="s">
        <v>155</v>
      </c>
      <c r="E4" s="81"/>
      <c r="F4" s="81" t="s">
        <v>156</v>
      </c>
      <c r="G4" s="81"/>
      <c r="H4" s="81" t="s">
        <v>157</v>
      </c>
      <c r="I4" s="81"/>
    </row>
    <row r="5" spans="2:9" x14ac:dyDescent="0.25">
      <c r="B5" s="82">
        <f>COUNTA('Campagne de Rose'!H8:H199)</f>
        <v>3</v>
      </c>
      <c r="C5" s="82"/>
      <c r="D5" s="82">
        <f ca="1">COUNTIF('Campagne de Rose'!D8:D199, "Urgent (J-0)")</f>
        <v>0</v>
      </c>
      <c r="E5" s="82"/>
      <c r="F5" s="82">
        <f ca="1">COUNTIF('Campagne de Rose'!D8:D199, "Relance à J-7")</f>
        <v>0</v>
      </c>
      <c r="G5" s="82"/>
      <c r="H5" s="83">
        <f>SUM('Campagne de Rose'!M8:M199)</f>
        <v>0</v>
      </c>
      <c r="I5" s="82"/>
    </row>
    <row r="6" spans="2:9" x14ac:dyDescent="0.25">
      <c r="B6" s="82"/>
      <c r="C6" s="82"/>
      <c r="D6" s="82"/>
      <c r="E6" s="82"/>
      <c r="F6" s="82"/>
      <c r="G6" s="82"/>
      <c r="H6" s="82"/>
      <c r="I6" s="82"/>
    </row>
    <row r="8" spans="2:9" x14ac:dyDescent="0.25">
      <c r="B8" s="21" t="s">
        <v>158</v>
      </c>
      <c r="C8" s="21" t="s">
        <v>159</v>
      </c>
    </row>
    <row r="9" spans="2:9" x14ac:dyDescent="0.25">
      <c r="B9" s="22" t="s">
        <v>80</v>
      </c>
      <c r="C9" s="22">
        <f>COUNTIF('Campagne de Rose'!I8:I199, "0%*")</f>
        <v>5</v>
      </c>
    </row>
    <row r="10" spans="2:9" x14ac:dyDescent="0.25">
      <c r="B10" s="22" t="s">
        <v>78</v>
      </c>
      <c r="C10" s="22">
        <f>COUNTIF('Campagne de Rose'!I8:I199, "25%*")</f>
        <v>5</v>
      </c>
    </row>
    <row r="11" spans="2:9" x14ac:dyDescent="0.25">
      <c r="B11" s="22" t="s">
        <v>79</v>
      </c>
      <c r="C11" s="22">
        <f>COUNTIF('Campagne de Rose'!I8:I199, "50%*")</f>
        <v>0</v>
      </c>
    </row>
    <row r="12" spans="2:9" x14ac:dyDescent="0.25">
      <c r="B12" s="22" t="s">
        <v>76</v>
      </c>
      <c r="C12" s="22">
        <f>COUNTIF('Campagne de Rose'!I8:I199, "75%*")</f>
        <v>4</v>
      </c>
    </row>
    <row r="13" spans="2:9" x14ac:dyDescent="0.25">
      <c r="B13" s="22" t="s">
        <v>160</v>
      </c>
      <c r="C13" s="22">
        <f>COUNTIF('Campagne de Rose'!I8:I199, "100%*")</f>
        <v>3</v>
      </c>
    </row>
    <row r="15" spans="2:9" x14ac:dyDescent="0.25">
      <c r="B15" s="21" t="s">
        <v>161</v>
      </c>
      <c r="C15" s="21" t="s">
        <v>162</v>
      </c>
    </row>
    <row r="16" spans="2:9" x14ac:dyDescent="0.25">
      <c r="B16" s="22" t="s">
        <v>163</v>
      </c>
      <c r="C16" s="23">
        <f>SUM('Campagne de Rose'!L8:L199)</f>
        <v>45850000</v>
      </c>
    </row>
    <row r="17" spans="2:3" x14ac:dyDescent="0.25">
      <c r="B17" s="22" t="s">
        <v>164</v>
      </c>
      <c r="C17" s="23">
        <f>SUM('Campagne de Rose'!M8:M199)</f>
        <v>0</v>
      </c>
    </row>
    <row r="18" spans="2:3" x14ac:dyDescent="0.25">
      <c r="B18" s="22" t="s">
        <v>165</v>
      </c>
      <c r="C18" s="23">
        <f>SUM('Campagne de Rose'!N8:N199)</f>
        <v>45850000</v>
      </c>
    </row>
    <row r="19" spans="2:3" x14ac:dyDescent="0.25">
      <c r="B19" s="22" t="s">
        <v>166</v>
      </c>
      <c r="C19" s="24">
        <f>IF(C16&gt;0, C17/C16, 0)</f>
        <v>0</v>
      </c>
    </row>
  </sheetData>
  <sheetProtection algorithmName="SHA-512" hashValue="coyB85WCQ+W9jx/yva0cVkZY3ea/eZHMAUsDG4TY6EXdPQMAWBXCZqD9aoVrprMfGfaPXm0FwI7wcC2lje6D6Q==" saltValue="iD+/OMqNVG5THNvLVsuAcw==" spinCount="100000" sheet="1" objects="1" scenarios="1"/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7E307-4D42-4C63-A05B-C689651DB70C}">
  <sheetPr codeName="Feuil7"/>
  <dimension ref="A1:T204"/>
  <sheetViews>
    <sheetView tabSelected="1" topLeftCell="H1" zoomScaleNormal="100" workbookViewId="0">
      <selection activeCell="L9" sqref="L9"/>
    </sheetView>
  </sheetViews>
  <sheetFormatPr baseColWidth="10" defaultColWidth="9.140625" defaultRowHeight="15" x14ac:dyDescent="0.25"/>
  <cols>
    <col min="1" max="1" width="25" style="35" customWidth="1"/>
    <col min="2" max="4" width="21" style="35" customWidth="1"/>
    <col min="5" max="5" width="21" style="57" customWidth="1"/>
    <col min="6" max="7" width="21" style="35" customWidth="1"/>
    <col min="8" max="8" width="20" style="35" customWidth="1"/>
    <col min="9" max="10" width="35" style="35" customWidth="1"/>
    <col min="11" max="11" width="22" style="35" customWidth="1"/>
    <col min="12" max="13" width="30" style="35" customWidth="1"/>
    <col min="14" max="14" width="18.5703125" style="35" customWidth="1"/>
    <col min="15" max="15" width="18" style="35" customWidth="1"/>
    <col min="16" max="17" width="40" style="35" customWidth="1"/>
    <col min="18" max="18" width="42" style="35" customWidth="1"/>
    <col min="19" max="19" width="22" style="35" customWidth="1"/>
    <col min="20" max="21" width="9.140625" style="35"/>
    <col min="22" max="22" width="9.5703125" style="35" bestFit="1" customWidth="1"/>
    <col min="23" max="16384" width="9.140625" style="35"/>
  </cols>
  <sheetData>
    <row r="1" spans="1:20" ht="35.1" customHeight="1" x14ac:dyDescent="0.25">
      <c r="A1" s="62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</row>
    <row r="2" spans="1:20" ht="20.100000000000001" customHeight="1" x14ac:dyDescent="0.25">
      <c r="A2" s="64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</row>
    <row r="4" spans="1:20" ht="15.95" customHeight="1" x14ac:dyDescent="0.25">
      <c r="A4" s="65" t="s">
        <v>57</v>
      </c>
      <c r="B4" s="66"/>
      <c r="C4" s="36"/>
      <c r="D4" s="36"/>
      <c r="E4" s="37"/>
      <c r="F4" s="36"/>
      <c r="G4" s="36"/>
      <c r="H4" s="65" t="s">
        <v>58</v>
      </c>
      <c r="I4" s="66"/>
      <c r="J4" s="36"/>
      <c r="K4" s="65" t="s">
        <v>59</v>
      </c>
      <c r="L4" s="66"/>
      <c r="M4" s="65" t="s">
        <v>60</v>
      </c>
      <c r="N4" s="66"/>
      <c r="O4" s="65" t="s">
        <v>61</v>
      </c>
      <c r="P4" s="66"/>
      <c r="Q4" s="66"/>
      <c r="R4" s="66"/>
      <c r="S4" s="66"/>
    </row>
    <row r="5" spans="1:20" ht="27.95" customHeight="1" x14ac:dyDescent="0.25">
      <c r="A5" s="67">
        <f>COUNTA(A8:A207)</f>
        <v>3</v>
      </c>
      <c r="B5" s="66"/>
      <c r="C5" s="36"/>
      <c r="D5" s="36"/>
      <c r="E5" s="37"/>
      <c r="F5" s="36"/>
      <c r="G5" s="36"/>
      <c r="H5" s="68">
        <f>SUM(N8:N207)</f>
        <v>250000</v>
      </c>
      <c r="I5" s="66"/>
      <c r="J5" s="36"/>
      <c r="K5" s="68">
        <f>SUM(O8:O207)</f>
        <v>0</v>
      </c>
      <c r="L5" s="66"/>
      <c r="M5" s="68">
        <f>H5-K5</f>
        <v>250000</v>
      </c>
      <c r="N5" s="66"/>
      <c r="O5" s="69">
        <f>IF(H5&gt;0, K5/H5, 0)</f>
        <v>0</v>
      </c>
      <c r="P5" s="66"/>
      <c r="Q5" s="66"/>
      <c r="R5" s="66"/>
      <c r="S5" s="66"/>
    </row>
    <row r="7" spans="1:20" ht="27.95" customHeight="1" x14ac:dyDescent="0.25">
      <c r="A7" s="38" t="s">
        <v>62</v>
      </c>
      <c r="B7" s="39" t="s">
        <v>63</v>
      </c>
      <c r="C7" s="39" t="s">
        <v>130</v>
      </c>
      <c r="D7" s="39" t="s">
        <v>131</v>
      </c>
      <c r="E7" s="40" t="s">
        <v>132</v>
      </c>
      <c r="F7" s="39" t="s">
        <v>133</v>
      </c>
      <c r="G7" s="39" t="s">
        <v>64</v>
      </c>
      <c r="H7" s="39" t="s">
        <v>65</v>
      </c>
      <c r="I7" s="39" t="s">
        <v>66</v>
      </c>
      <c r="J7" s="39" t="s">
        <v>67</v>
      </c>
      <c r="K7" s="39" t="s">
        <v>68</v>
      </c>
      <c r="L7" s="39" t="s">
        <v>69</v>
      </c>
      <c r="M7" s="39" t="s">
        <v>70</v>
      </c>
      <c r="N7" s="39" t="s">
        <v>71</v>
      </c>
      <c r="O7" s="39" t="s">
        <v>72</v>
      </c>
      <c r="P7" s="39" t="s">
        <v>73</v>
      </c>
      <c r="Q7" s="41" t="s">
        <v>74</v>
      </c>
      <c r="R7" s="39" t="s">
        <v>174</v>
      </c>
    </row>
    <row r="8" spans="1:20" ht="27.95" customHeight="1" x14ac:dyDescent="0.25">
      <c r="A8" s="42" t="s">
        <v>172</v>
      </c>
      <c r="B8" s="43" t="s">
        <v>109</v>
      </c>
      <c r="C8" s="43" t="s">
        <v>171</v>
      </c>
      <c r="D8" s="5" t="str">
        <f ca="1">IF(B8="", "", IF(C8="", "En attente de date", IF(E8&gt;0, "Déjà relancé", IF((C8-TODAY())&lt;=0, "Urgent (J-0)", IF((C8-TODAY())&lt;=7, "Relance à J-7", "Dans les temps")))))</f>
        <v>Déjà relancé</v>
      </c>
      <c r="E8" s="45">
        <v>1</v>
      </c>
      <c r="F8" s="46">
        <v>46263</v>
      </c>
      <c r="G8" s="44" t="s">
        <v>12</v>
      </c>
      <c r="H8" s="47" t="s">
        <v>173</v>
      </c>
      <c r="I8" s="44" t="s">
        <v>78</v>
      </c>
      <c r="J8" s="47" t="s">
        <v>123</v>
      </c>
      <c r="K8" s="47" t="s">
        <v>129</v>
      </c>
      <c r="L8" s="59">
        <v>150000</v>
      </c>
      <c r="M8" s="48"/>
      <c r="N8" s="6">
        <f t="shared" ref="N8:N30" si="0">L8-M8</f>
        <v>150000</v>
      </c>
      <c r="O8" s="44"/>
      <c r="P8" s="4" t="str">
        <f t="shared" ref="P8:P23" si="1">IF(B10="","","Bonjour "&amp;A10&amp;",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Bonjour SAHEL Sévérin, je suis Yannick de la revue RARID Journal. Je reviens vers vous concernant votre article. Nous avons noté votre intérêt pour notre revue. Êtes-vous toujours intéressé(e) par sa publication ? Vous pouvez la finaliser via : http://www.rarid-journal.com/</v>
      </c>
      <c r="Q8" s="11" t="str">
        <f t="shared" ref="Q8:Q71" si="2">IF(B8="","","https://wa.me/"&amp;SUBSTITUTE(SUBSTITUTE(SUBSTITUTE(B8,"+","")," ",""),"-","")&amp;"?text="&amp;SUBSTITUTE(P8," ","%20"))</f>
        <v>https://wa.me/243842457584?text=Bonjour%20SAHEL%20Sévérin,%20je%20suis%20Yannick%20de%20la%20revue%20RARID%20Journal.%20Je%20reviens%20vers%20vous%20concernant%20votre%20article.%20Nous%20avons%20noté%20votre%20intérêt%20pour%20notre%20revue.%20Êtes-vous%20toujours%20intéressé(e)%20par%20sa%20publication%20?%20Vous%20pouvez%20la%20finaliser%20via%20:%20http://www.rarid-journal.com/</v>
      </c>
      <c r="R8" s="11" t="s">
        <v>175</v>
      </c>
    </row>
    <row r="9" spans="1:20" ht="27.95" customHeight="1" x14ac:dyDescent="0.25">
      <c r="A9" s="49" t="s">
        <v>176</v>
      </c>
      <c r="B9" s="50" t="s">
        <v>177</v>
      </c>
      <c r="C9" s="43" t="s">
        <v>171</v>
      </c>
      <c r="D9" s="5" t="str">
        <f t="shared" ref="D9:D47" ca="1" si="3">IF(B9="", "", IF(C9="", "En attente de date", IF(E9&gt;0, "Déjà relancé", IF((C9-TODAY())&lt;=0, "Urgent (J-0)", IF((C9-TODAY())&lt;=7, "Relance à J-7", "Dans les temps")))))</f>
        <v>Déjà relancé</v>
      </c>
      <c r="E9" s="51">
        <v>1</v>
      </c>
      <c r="F9" s="46">
        <v>46263</v>
      </c>
      <c r="G9" s="53" t="s">
        <v>9</v>
      </c>
      <c r="H9" s="54" t="s">
        <v>178</v>
      </c>
      <c r="I9" s="53" t="s">
        <v>78</v>
      </c>
      <c r="J9" s="54" t="s">
        <v>123</v>
      </c>
      <c r="K9" s="54" t="s">
        <v>140</v>
      </c>
      <c r="L9" s="59">
        <v>50000</v>
      </c>
      <c r="M9" s="55"/>
      <c r="N9" s="9">
        <v>50000</v>
      </c>
      <c r="O9" s="53"/>
      <c r="P9" s="7" t="str">
        <f t="shared" si="1"/>
        <v/>
      </c>
      <c r="Q9" s="11" t="str">
        <f t="shared" si="2"/>
        <v>https://wa.me/237651532468?text=</v>
      </c>
      <c r="R9" s="11"/>
    </row>
    <row r="10" spans="1:20" ht="27.95" customHeight="1" x14ac:dyDescent="0.25">
      <c r="A10" s="42" t="s">
        <v>176</v>
      </c>
      <c r="B10" s="43" t="s">
        <v>177</v>
      </c>
      <c r="C10" s="43" t="s">
        <v>171</v>
      </c>
      <c r="D10" s="5" t="str">
        <f t="shared" ca="1" si="3"/>
        <v>Déjà relancé</v>
      </c>
      <c r="E10" s="45">
        <v>1</v>
      </c>
      <c r="F10" s="46">
        <v>46264</v>
      </c>
      <c r="G10" s="44" t="s">
        <v>9</v>
      </c>
      <c r="H10" s="47" t="s">
        <v>179</v>
      </c>
      <c r="I10" s="44"/>
      <c r="J10" s="47" t="s">
        <v>123</v>
      </c>
      <c r="K10" s="47" t="s">
        <v>140</v>
      </c>
      <c r="L10" s="59">
        <v>50000</v>
      </c>
      <c r="M10" s="48"/>
      <c r="N10" s="6">
        <f t="shared" si="0"/>
        <v>50000</v>
      </c>
      <c r="O10" s="44"/>
      <c r="P10" s="4" t="str">
        <f t="shared" si="1"/>
        <v/>
      </c>
      <c r="Q10" s="11" t="str">
        <f t="shared" si="2"/>
        <v>https://wa.me/237651532468?text=</v>
      </c>
      <c r="R10" s="11"/>
    </row>
    <row r="11" spans="1:20" ht="27.95" customHeight="1" x14ac:dyDescent="0.25">
      <c r="A11" s="49"/>
      <c r="B11" s="50"/>
      <c r="C11" s="43" t="s">
        <v>171</v>
      </c>
      <c r="D11" s="5" t="str">
        <f t="shared" ca="1" si="3"/>
        <v/>
      </c>
      <c r="E11" s="51"/>
      <c r="F11" s="52"/>
      <c r="G11" s="53"/>
      <c r="H11" s="54"/>
      <c r="I11" s="53"/>
      <c r="J11" s="54"/>
      <c r="K11" s="54"/>
      <c r="L11" s="59"/>
      <c r="M11" s="55"/>
      <c r="N11" s="9">
        <f t="shared" si="0"/>
        <v>0</v>
      </c>
      <c r="O11" s="53"/>
      <c r="P11" s="7" t="str">
        <f t="shared" si="1"/>
        <v/>
      </c>
      <c r="Q11" s="12" t="str">
        <f t="shared" si="2"/>
        <v/>
      </c>
      <c r="R11" s="11"/>
    </row>
    <row r="12" spans="1:20" ht="27.95" customHeight="1" x14ac:dyDescent="0.25">
      <c r="A12" s="42"/>
      <c r="B12" s="43"/>
      <c r="C12" s="43" t="s">
        <v>171</v>
      </c>
      <c r="D12" s="5" t="str">
        <f t="shared" ca="1" si="3"/>
        <v/>
      </c>
      <c r="E12" s="45"/>
      <c r="F12" s="46"/>
      <c r="G12" s="44"/>
      <c r="H12" s="47"/>
      <c r="I12" s="44"/>
      <c r="J12" s="47"/>
      <c r="K12" s="47"/>
      <c r="L12" s="59"/>
      <c r="M12" s="48"/>
      <c r="N12" s="6">
        <f t="shared" si="0"/>
        <v>0</v>
      </c>
      <c r="O12" s="44"/>
      <c r="P12" s="4" t="str">
        <f t="shared" si="1"/>
        <v/>
      </c>
      <c r="Q12" s="11" t="str">
        <f t="shared" si="2"/>
        <v/>
      </c>
      <c r="R12" s="11"/>
    </row>
    <row r="13" spans="1:20" ht="27.95" customHeight="1" x14ac:dyDescent="0.25">
      <c r="A13" s="49"/>
      <c r="B13" s="50"/>
      <c r="C13" s="43" t="s">
        <v>171</v>
      </c>
      <c r="D13" s="5" t="str">
        <f t="shared" ca="1" si="3"/>
        <v/>
      </c>
      <c r="E13" s="51">
        <v>0</v>
      </c>
      <c r="F13" s="52"/>
      <c r="G13" s="53"/>
      <c r="H13" s="54"/>
      <c r="I13" s="53"/>
      <c r="J13" s="54"/>
      <c r="K13" s="54"/>
      <c r="L13" s="59"/>
      <c r="M13" s="55"/>
      <c r="N13" s="9">
        <f t="shared" si="0"/>
        <v>0</v>
      </c>
      <c r="O13" s="53"/>
      <c r="P13" s="7" t="str">
        <f t="shared" si="1"/>
        <v/>
      </c>
      <c r="Q13" s="12" t="str">
        <f t="shared" si="2"/>
        <v/>
      </c>
      <c r="R13" s="11"/>
    </row>
    <row r="14" spans="1:20" ht="27.95" customHeight="1" x14ac:dyDescent="0.25">
      <c r="A14" s="42"/>
      <c r="B14" s="43"/>
      <c r="C14" s="43" t="s">
        <v>171</v>
      </c>
      <c r="D14" s="5" t="str">
        <f t="shared" ca="1" si="3"/>
        <v/>
      </c>
      <c r="E14" s="45"/>
      <c r="F14" s="46"/>
      <c r="G14" s="44"/>
      <c r="H14" s="47"/>
      <c r="I14" s="44"/>
      <c r="J14" s="47"/>
      <c r="K14" s="47"/>
      <c r="L14" s="59"/>
      <c r="M14" s="48"/>
      <c r="N14" s="6">
        <f t="shared" si="0"/>
        <v>0</v>
      </c>
      <c r="O14" s="44"/>
      <c r="P14" s="4" t="str">
        <f t="shared" si="1"/>
        <v/>
      </c>
      <c r="Q14" s="11" t="str">
        <f t="shared" si="2"/>
        <v/>
      </c>
      <c r="R14" s="11"/>
    </row>
    <row r="15" spans="1:20" ht="27.95" customHeight="1" x14ac:dyDescent="0.25">
      <c r="A15" s="49"/>
      <c r="B15" s="50"/>
      <c r="C15" s="43" t="s">
        <v>171</v>
      </c>
      <c r="D15" s="5" t="str">
        <f t="shared" ca="1" si="3"/>
        <v/>
      </c>
      <c r="E15" s="51"/>
      <c r="F15" s="52"/>
      <c r="G15" s="53"/>
      <c r="H15" s="54"/>
      <c r="I15" s="53"/>
      <c r="J15" s="54"/>
      <c r="K15" s="54"/>
      <c r="L15" s="59"/>
      <c r="M15" s="55"/>
      <c r="N15" s="9">
        <f t="shared" si="0"/>
        <v>0</v>
      </c>
      <c r="O15" s="53"/>
      <c r="P15" s="7" t="str">
        <f t="shared" si="1"/>
        <v/>
      </c>
      <c r="Q15" s="12" t="str">
        <f t="shared" si="2"/>
        <v/>
      </c>
      <c r="R15" s="11"/>
    </row>
    <row r="16" spans="1:20" ht="27.95" customHeight="1" x14ac:dyDescent="0.25">
      <c r="A16" s="42"/>
      <c r="B16" s="43"/>
      <c r="C16" s="43" t="s">
        <v>171</v>
      </c>
      <c r="D16" s="5" t="str">
        <f t="shared" ca="1" si="3"/>
        <v/>
      </c>
      <c r="E16" s="45"/>
      <c r="F16" s="46"/>
      <c r="G16" s="44"/>
      <c r="H16" s="47"/>
      <c r="I16" s="44"/>
      <c r="J16" s="47"/>
      <c r="K16" s="47"/>
      <c r="L16" s="59"/>
      <c r="M16" s="48"/>
      <c r="N16" s="6">
        <f t="shared" si="0"/>
        <v>0</v>
      </c>
      <c r="O16" s="44"/>
      <c r="P16" s="4" t="str">
        <f t="shared" si="1"/>
        <v/>
      </c>
      <c r="Q16" s="11" t="str">
        <f t="shared" si="2"/>
        <v/>
      </c>
      <c r="R16" s="11"/>
      <c r="T16" s="56"/>
    </row>
    <row r="17" spans="1:18" ht="27.95" customHeight="1" x14ac:dyDescent="0.25">
      <c r="A17" s="49"/>
      <c r="B17" s="50"/>
      <c r="C17" s="43" t="s">
        <v>171</v>
      </c>
      <c r="D17" s="5" t="str">
        <f t="shared" ca="1" si="3"/>
        <v/>
      </c>
      <c r="E17" s="51"/>
      <c r="F17" s="52"/>
      <c r="G17" s="53"/>
      <c r="H17" s="54"/>
      <c r="I17" s="53"/>
      <c r="J17" s="54"/>
      <c r="K17" s="54"/>
      <c r="L17" s="59"/>
      <c r="M17" s="55"/>
      <c r="N17" s="9">
        <f t="shared" si="0"/>
        <v>0</v>
      </c>
      <c r="O17" s="53"/>
      <c r="P17" s="4" t="str">
        <f t="shared" si="1"/>
        <v/>
      </c>
      <c r="Q17" s="11" t="str">
        <f t="shared" si="2"/>
        <v/>
      </c>
      <c r="R17" s="11"/>
    </row>
    <row r="18" spans="1:18" ht="27.95" customHeight="1" x14ac:dyDescent="0.25">
      <c r="A18" s="42"/>
      <c r="B18" s="43"/>
      <c r="C18" s="43" t="s">
        <v>171</v>
      </c>
      <c r="D18" s="5" t="str">
        <f t="shared" ca="1" si="3"/>
        <v/>
      </c>
      <c r="E18" s="45"/>
      <c r="F18" s="46"/>
      <c r="G18" s="44"/>
      <c r="H18" s="47"/>
      <c r="I18" s="44"/>
      <c r="J18" s="47"/>
      <c r="K18" s="47"/>
      <c r="L18" s="59"/>
      <c r="M18" s="48"/>
      <c r="N18" s="6">
        <f t="shared" si="0"/>
        <v>0</v>
      </c>
      <c r="O18" s="44"/>
      <c r="P18" s="4" t="str">
        <f t="shared" si="1"/>
        <v/>
      </c>
      <c r="Q18" s="11" t="str">
        <f t="shared" si="2"/>
        <v/>
      </c>
      <c r="R18" s="11"/>
    </row>
    <row r="19" spans="1:18" ht="27.95" customHeight="1" x14ac:dyDescent="0.25">
      <c r="A19" s="49"/>
      <c r="B19" s="50"/>
      <c r="C19" s="43" t="s">
        <v>171</v>
      </c>
      <c r="D19" s="5" t="str">
        <f t="shared" ca="1" si="3"/>
        <v/>
      </c>
      <c r="E19" s="51"/>
      <c r="F19" s="52"/>
      <c r="G19" s="53"/>
      <c r="H19" s="54"/>
      <c r="I19" s="53"/>
      <c r="J19" s="54"/>
      <c r="K19" s="54"/>
      <c r="L19" s="59"/>
      <c r="M19" s="55"/>
      <c r="N19" s="9">
        <f t="shared" si="0"/>
        <v>0</v>
      </c>
      <c r="O19" s="53"/>
      <c r="P19" s="4" t="str">
        <f t="shared" si="1"/>
        <v/>
      </c>
      <c r="Q19" s="11" t="str">
        <f t="shared" si="2"/>
        <v/>
      </c>
      <c r="R19" s="11"/>
    </row>
    <row r="20" spans="1:18" ht="27.95" customHeight="1" x14ac:dyDescent="0.25">
      <c r="A20" s="42"/>
      <c r="B20" s="43"/>
      <c r="C20" s="43" t="s">
        <v>171</v>
      </c>
      <c r="D20" s="5" t="str">
        <f t="shared" ca="1" si="3"/>
        <v/>
      </c>
      <c r="E20" s="45"/>
      <c r="F20" s="46"/>
      <c r="G20" s="44"/>
      <c r="H20" s="47"/>
      <c r="I20" s="44"/>
      <c r="J20" s="47"/>
      <c r="K20" s="47"/>
      <c r="L20" s="59"/>
      <c r="M20" s="48"/>
      <c r="N20" s="6">
        <f t="shared" si="0"/>
        <v>0</v>
      </c>
      <c r="O20" s="44"/>
      <c r="P20" s="4" t="str">
        <f t="shared" si="1"/>
        <v/>
      </c>
      <c r="Q20" s="11" t="str">
        <f t="shared" si="2"/>
        <v/>
      </c>
      <c r="R20" s="11"/>
    </row>
    <row r="21" spans="1:18" ht="27.95" customHeight="1" x14ac:dyDescent="0.25">
      <c r="A21" s="49"/>
      <c r="B21" s="50"/>
      <c r="C21" s="43" t="s">
        <v>171</v>
      </c>
      <c r="D21" s="5" t="str">
        <f t="shared" ca="1" si="3"/>
        <v/>
      </c>
      <c r="E21" s="51"/>
      <c r="F21" s="52"/>
      <c r="G21" s="53"/>
      <c r="H21" s="54"/>
      <c r="I21" s="53"/>
      <c r="J21" s="54"/>
      <c r="K21" s="54"/>
      <c r="L21" s="59"/>
      <c r="M21" s="55"/>
      <c r="N21" s="9">
        <f t="shared" si="0"/>
        <v>0</v>
      </c>
      <c r="O21" s="53"/>
      <c r="P21" s="4" t="str">
        <f t="shared" si="1"/>
        <v/>
      </c>
      <c r="Q21" s="11" t="str">
        <f t="shared" si="2"/>
        <v/>
      </c>
      <c r="R21" s="11"/>
    </row>
    <row r="22" spans="1:18" ht="27.95" customHeight="1" x14ac:dyDescent="0.25">
      <c r="A22" s="42"/>
      <c r="B22" s="43"/>
      <c r="C22" s="43" t="s">
        <v>171</v>
      </c>
      <c r="D22" s="5" t="str">
        <f t="shared" ca="1" si="3"/>
        <v/>
      </c>
      <c r="E22" s="45"/>
      <c r="F22" s="46"/>
      <c r="G22" s="44"/>
      <c r="H22" s="47"/>
      <c r="I22" s="44"/>
      <c r="J22" s="47"/>
      <c r="K22" s="47"/>
      <c r="L22" s="59"/>
      <c r="M22" s="48"/>
      <c r="N22" s="6">
        <f t="shared" si="0"/>
        <v>0</v>
      </c>
      <c r="O22" s="44"/>
      <c r="P22" s="4" t="str">
        <f t="shared" si="1"/>
        <v/>
      </c>
      <c r="Q22" s="11" t="str">
        <f t="shared" si="2"/>
        <v/>
      </c>
      <c r="R22" s="11"/>
    </row>
    <row r="23" spans="1:18" ht="27.95" customHeight="1" x14ac:dyDescent="0.25">
      <c r="A23" s="49"/>
      <c r="B23" s="50"/>
      <c r="C23" s="43" t="s">
        <v>171</v>
      </c>
      <c r="D23" s="5" t="str">
        <f t="shared" ca="1" si="3"/>
        <v/>
      </c>
      <c r="E23" s="51"/>
      <c r="F23" s="52"/>
      <c r="G23" s="53"/>
      <c r="H23" s="54"/>
      <c r="I23" s="53"/>
      <c r="J23" s="54"/>
      <c r="K23" s="54"/>
      <c r="L23" s="59"/>
      <c r="M23" s="55"/>
      <c r="N23" s="9">
        <f t="shared" si="0"/>
        <v>0</v>
      </c>
      <c r="O23" s="53"/>
      <c r="P23" s="4" t="str">
        <f t="shared" si="1"/>
        <v/>
      </c>
      <c r="Q23" s="11" t="str">
        <f t="shared" si="2"/>
        <v/>
      </c>
      <c r="R23" s="60"/>
    </row>
    <row r="24" spans="1:18" ht="27.95" customHeight="1" x14ac:dyDescent="0.25">
      <c r="A24" s="42"/>
      <c r="B24" s="43"/>
      <c r="C24" s="43" t="s">
        <v>171</v>
      </c>
      <c r="D24" s="5" t="str">
        <f t="shared" ca="1" si="3"/>
        <v/>
      </c>
      <c r="E24" s="45"/>
      <c r="F24" s="46"/>
      <c r="G24" s="44"/>
      <c r="H24" s="47"/>
      <c r="I24" s="44"/>
      <c r="J24" s="47"/>
      <c r="K24" s="47"/>
      <c r="L24" s="59"/>
      <c r="M24" s="48"/>
      <c r="N24" s="6">
        <f t="shared" si="0"/>
        <v>0</v>
      </c>
      <c r="O24" s="44"/>
      <c r="P24" s="4" t="str">
        <f>IF(B26="","","Bonjour "&amp;A26&amp;",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4" s="11" t="str">
        <f t="shared" si="2"/>
        <v/>
      </c>
      <c r="R24" s="60"/>
    </row>
    <row r="25" spans="1:18" ht="27.95" customHeight="1" x14ac:dyDescent="0.25">
      <c r="A25" s="49"/>
      <c r="B25" s="50"/>
      <c r="C25" s="43" t="s">
        <v>171</v>
      </c>
      <c r="D25" s="5" t="str">
        <f t="shared" ca="1" si="3"/>
        <v/>
      </c>
      <c r="E25" s="51"/>
      <c r="F25" s="52"/>
      <c r="G25" s="53"/>
      <c r="H25" s="54"/>
      <c r="I25" s="53"/>
      <c r="J25" s="54"/>
      <c r="K25" s="54"/>
      <c r="L25" s="59"/>
      <c r="M25" s="55"/>
      <c r="N25" s="9">
        <f t="shared" si="0"/>
        <v>0</v>
      </c>
      <c r="O25" s="53"/>
      <c r="P25" s="4" t="str">
        <f>IF(B29="","","Bonjour "&amp;A29&amp;",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5" s="11" t="str">
        <f t="shared" si="2"/>
        <v/>
      </c>
      <c r="R25" s="60"/>
    </row>
    <row r="26" spans="1:18" ht="27.95" customHeight="1" x14ac:dyDescent="0.25">
      <c r="A26" s="42"/>
      <c r="B26" s="43"/>
      <c r="C26" s="43" t="s">
        <v>171</v>
      </c>
      <c r="D26" s="5" t="str">
        <f t="shared" ca="1" si="3"/>
        <v/>
      </c>
      <c r="E26" s="45"/>
      <c r="F26" s="46"/>
      <c r="G26" s="44"/>
      <c r="H26" s="47"/>
      <c r="I26" s="44"/>
      <c r="J26" s="47"/>
      <c r="K26" s="47"/>
      <c r="L26" s="59"/>
      <c r="M26" s="48"/>
      <c r="N26" s="6">
        <f t="shared" si="0"/>
        <v>0</v>
      </c>
      <c r="O26" s="44"/>
      <c r="P26" s="4" t="str">
        <f t="shared" ref="P26:P43" si="4">IF(B30="","","Bonjour "&amp;A30&amp;",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26" s="11" t="str">
        <f t="shared" si="2"/>
        <v/>
      </c>
      <c r="R26" s="60"/>
    </row>
    <row r="27" spans="1:18" ht="27.95" customHeight="1" x14ac:dyDescent="0.25">
      <c r="A27" s="42"/>
      <c r="B27" s="43"/>
      <c r="C27" s="43" t="s">
        <v>171</v>
      </c>
      <c r="D27" s="5" t="str">
        <f t="shared" ca="1" si="3"/>
        <v/>
      </c>
      <c r="E27" s="45"/>
      <c r="F27" s="46"/>
      <c r="G27" s="44"/>
      <c r="H27" s="47"/>
      <c r="I27" s="44"/>
      <c r="J27" s="47"/>
      <c r="K27" s="47"/>
      <c r="L27" s="59"/>
      <c r="M27" s="48"/>
      <c r="N27" s="6">
        <f>L27-M27</f>
        <v>0</v>
      </c>
      <c r="O27" s="44"/>
      <c r="P27" s="4" t="str">
        <f t="shared" si="4"/>
        <v/>
      </c>
      <c r="Q27" s="11" t="str">
        <f>IF(B27="","","https://wa.me/"&amp;SUBSTITUTE(SUBSTITUTE(SUBSTITUTE(B27,"+","")," ",""),"-","")&amp;"?text="&amp;SUBSTITUTE(P27," ","%20"))</f>
        <v/>
      </c>
      <c r="R27" s="60"/>
    </row>
    <row r="28" spans="1:18" x14ac:dyDescent="0.25">
      <c r="A28" s="42"/>
      <c r="B28" s="43"/>
      <c r="C28" s="43" t="s">
        <v>171</v>
      </c>
      <c r="D28" s="5" t="str">
        <f t="shared" ca="1" si="3"/>
        <v/>
      </c>
      <c r="E28" s="45"/>
      <c r="F28" s="46"/>
      <c r="G28" s="44"/>
      <c r="H28" s="47"/>
      <c r="I28" s="44"/>
      <c r="J28" s="47"/>
      <c r="K28" s="47"/>
      <c r="L28" s="59"/>
      <c r="M28" s="48"/>
      <c r="N28" s="6">
        <f>L28-M28</f>
        <v>0</v>
      </c>
      <c r="O28" s="44"/>
      <c r="P28" s="4" t="str">
        <f t="shared" si="4"/>
        <v/>
      </c>
      <c r="Q28" s="11" t="str">
        <f>IF(B28="","","https://wa.me/"&amp;SUBSTITUTE(SUBSTITUTE(SUBSTITUTE(B28,"+","")," ",""),"-","")&amp;"?text="&amp;SUBSTITUTE(P28," ","%20"))</f>
        <v/>
      </c>
      <c r="R28" s="60"/>
    </row>
    <row r="29" spans="1:18" x14ac:dyDescent="0.25">
      <c r="A29" s="42"/>
      <c r="B29" s="43"/>
      <c r="C29" s="43" t="s">
        <v>171</v>
      </c>
      <c r="D29" s="5" t="str">
        <f t="shared" ca="1" si="3"/>
        <v/>
      </c>
      <c r="E29" s="45"/>
      <c r="F29" s="46"/>
      <c r="G29" s="44"/>
      <c r="H29" s="47"/>
      <c r="I29" s="44"/>
      <c r="J29" s="47"/>
      <c r="K29" s="47"/>
      <c r="L29" s="59"/>
      <c r="M29" s="48"/>
      <c r="N29" s="6">
        <f>L29-M29</f>
        <v>0</v>
      </c>
      <c r="O29" s="44"/>
      <c r="P29" s="4" t="str">
        <f t="shared" si="4"/>
        <v/>
      </c>
      <c r="Q29" s="11" t="str">
        <f t="shared" si="2"/>
        <v/>
      </c>
      <c r="R29" s="60"/>
    </row>
    <row r="30" spans="1:18" x14ac:dyDescent="0.25">
      <c r="A30" s="42"/>
      <c r="B30" s="43"/>
      <c r="C30" s="43" t="s">
        <v>171</v>
      </c>
      <c r="D30" s="5" t="str">
        <f t="shared" ca="1" si="3"/>
        <v/>
      </c>
      <c r="E30" s="45"/>
      <c r="F30" s="46"/>
      <c r="G30" s="44"/>
      <c r="H30" s="47"/>
      <c r="I30" s="44"/>
      <c r="J30" s="47"/>
      <c r="K30" s="47"/>
      <c r="L30" s="59"/>
      <c r="M30" s="48"/>
      <c r="N30" s="6">
        <f t="shared" si="0"/>
        <v>0</v>
      </c>
      <c r="O30" s="44"/>
      <c r="P30" s="4" t="str">
        <f t="shared" si="4"/>
        <v/>
      </c>
      <c r="Q30" s="11" t="str">
        <f t="shared" si="2"/>
        <v/>
      </c>
      <c r="R30" s="60"/>
    </row>
    <row r="31" spans="1:18" x14ac:dyDescent="0.25">
      <c r="A31" s="42"/>
      <c r="B31" s="43"/>
      <c r="C31" s="43" t="s">
        <v>171</v>
      </c>
      <c r="D31" s="5" t="str">
        <f t="shared" ca="1" si="3"/>
        <v/>
      </c>
      <c r="E31" s="45"/>
      <c r="F31" s="46"/>
      <c r="G31" s="44"/>
      <c r="H31" s="47"/>
      <c r="I31" s="44"/>
      <c r="J31" s="47"/>
      <c r="K31" s="47"/>
      <c r="L31" s="59"/>
      <c r="M31" s="48"/>
      <c r="N31" s="6">
        <f>L31-M31</f>
        <v>0</v>
      </c>
      <c r="O31" s="44"/>
      <c r="P31" s="4" t="str">
        <f t="shared" si="4"/>
        <v/>
      </c>
      <c r="Q31" s="11" t="str">
        <f t="shared" si="2"/>
        <v/>
      </c>
      <c r="R31" s="60"/>
    </row>
    <row r="32" spans="1:18" x14ac:dyDescent="0.25">
      <c r="A32" s="42"/>
      <c r="B32" s="43"/>
      <c r="C32" s="43" t="s">
        <v>171</v>
      </c>
      <c r="D32" s="5" t="str">
        <f t="shared" ca="1" si="3"/>
        <v/>
      </c>
      <c r="E32" s="45"/>
      <c r="F32" s="46"/>
      <c r="G32" s="44"/>
      <c r="H32" s="47"/>
      <c r="I32" s="44"/>
      <c r="J32" s="47"/>
      <c r="K32" s="47"/>
      <c r="L32" s="59"/>
      <c r="M32" s="48"/>
      <c r="N32" s="6">
        <f t="shared" ref="N32:N95" si="5">L32-M32</f>
        <v>0</v>
      </c>
      <c r="O32" s="44"/>
      <c r="P32" s="4" t="str">
        <f t="shared" si="4"/>
        <v/>
      </c>
      <c r="Q32" s="11" t="str">
        <f t="shared" si="2"/>
        <v/>
      </c>
      <c r="R32" s="60"/>
    </row>
    <row r="33" spans="1:18" x14ac:dyDescent="0.25">
      <c r="A33" s="42"/>
      <c r="B33" s="43"/>
      <c r="C33" s="43" t="s">
        <v>171</v>
      </c>
      <c r="D33" s="5" t="str">
        <f t="shared" ca="1" si="3"/>
        <v/>
      </c>
      <c r="E33" s="45"/>
      <c r="F33" s="46"/>
      <c r="G33" s="44"/>
      <c r="H33" s="47"/>
      <c r="I33" s="44"/>
      <c r="J33" s="47"/>
      <c r="K33" s="47"/>
      <c r="L33" s="59"/>
      <c r="M33" s="48"/>
      <c r="N33" s="6">
        <f t="shared" si="5"/>
        <v>0</v>
      </c>
      <c r="O33" s="44"/>
      <c r="P33" s="4" t="str">
        <f t="shared" si="4"/>
        <v/>
      </c>
      <c r="Q33" s="11" t="str">
        <f t="shared" si="2"/>
        <v/>
      </c>
      <c r="R33" s="60"/>
    </row>
    <row r="34" spans="1:18" x14ac:dyDescent="0.25">
      <c r="A34" s="42"/>
      <c r="B34" s="43"/>
      <c r="C34" s="43" t="s">
        <v>171</v>
      </c>
      <c r="D34" s="5" t="str">
        <f t="shared" ca="1" si="3"/>
        <v/>
      </c>
      <c r="E34" s="45"/>
      <c r="F34" s="46"/>
      <c r="G34" s="44"/>
      <c r="H34" s="47"/>
      <c r="I34" s="44"/>
      <c r="J34" s="47"/>
      <c r="K34" s="47"/>
      <c r="L34" s="59"/>
      <c r="M34" s="48"/>
      <c r="N34" s="6">
        <f t="shared" si="5"/>
        <v>0</v>
      </c>
      <c r="O34" s="44"/>
      <c r="P34" s="4" t="str">
        <f t="shared" si="4"/>
        <v/>
      </c>
      <c r="Q34" s="11" t="str">
        <f t="shared" si="2"/>
        <v/>
      </c>
      <c r="R34" s="60"/>
    </row>
    <row r="35" spans="1:18" x14ac:dyDescent="0.25">
      <c r="A35" s="42"/>
      <c r="B35" s="43"/>
      <c r="C35" s="43" t="s">
        <v>171</v>
      </c>
      <c r="D35" s="5" t="str">
        <f t="shared" ca="1" si="3"/>
        <v/>
      </c>
      <c r="E35" s="45"/>
      <c r="F35" s="46"/>
      <c r="G35" s="44"/>
      <c r="H35" s="47"/>
      <c r="I35" s="44"/>
      <c r="J35" s="47"/>
      <c r="K35" s="47"/>
      <c r="L35" s="59"/>
      <c r="M35" s="48"/>
      <c r="N35" s="6">
        <f t="shared" si="5"/>
        <v>0</v>
      </c>
      <c r="O35" s="44"/>
      <c r="P35" s="4" t="str">
        <f t="shared" si="4"/>
        <v/>
      </c>
      <c r="Q35" s="11" t="str">
        <f t="shared" si="2"/>
        <v/>
      </c>
      <c r="R35" s="60"/>
    </row>
    <row r="36" spans="1:18" ht="14.25" customHeight="1" x14ac:dyDescent="0.25">
      <c r="A36" s="42"/>
      <c r="B36" s="43"/>
      <c r="C36" s="43" t="s">
        <v>171</v>
      </c>
      <c r="D36" s="5" t="str">
        <f t="shared" ca="1" si="3"/>
        <v/>
      </c>
      <c r="E36" s="45"/>
      <c r="F36" s="46"/>
      <c r="G36" s="44"/>
      <c r="H36" s="47"/>
      <c r="I36" s="44"/>
      <c r="J36" s="47"/>
      <c r="K36" s="47"/>
      <c r="L36" s="59"/>
      <c r="M36" s="48"/>
      <c r="N36" s="6">
        <f t="shared" si="5"/>
        <v>0</v>
      </c>
      <c r="O36" s="44"/>
      <c r="P36" s="4" t="str">
        <f t="shared" si="4"/>
        <v/>
      </c>
      <c r="Q36" s="11" t="str">
        <f t="shared" si="2"/>
        <v/>
      </c>
      <c r="R36" s="60"/>
    </row>
    <row r="37" spans="1:18" x14ac:dyDescent="0.25">
      <c r="A37" s="42"/>
      <c r="B37" s="43"/>
      <c r="C37" s="43" t="s">
        <v>171</v>
      </c>
      <c r="D37" s="5" t="str">
        <f t="shared" ca="1" si="3"/>
        <v/>
      </c>
      <c r="E37" s="45"/>
      <c r="F37" s="46"/>
      <c r="G37" s="44"/>
      <c r="H37" s="47"/>
      <c r="I37" s="44"/>
      <c r="J37" s="47"/>
      <c r="K37" s="47"/>
      <c r="L37" s="59"/>
      <c r="M37" s="48"/>
      <c r="N37" s="6">
        <f t="shared" si="5"/>
        <v>0</v>
      </c>
      <c r="O37" s="44"/>
      <c r="P37" s="4" t="str">
        <f t="shared" si="4"/>
        <v/>
      </c>
      <c r="Q37" s="11" t="str">
        <f t="shared" si="2"/>
        <v/>
      </c>
      <c r="R37" s="60"/>
    </row>
    <row r="38" spans="1:18" x14ac:dyDescent="0.25">
      <c r="A38" s="42"/>
      <c r="B38" s="43"/>
      <c r="C38" s="43" t="s">
        <v>171</v>
      </c>
      <c r="D38" s="5" t="str">
        <f t="shared" ca="1" si="3"/>
        <v/>
      </c>
      <c r="E38" s="45"/>
      <c r="F38" s="46"/>
      <c r="G38" s="44"/>
      <c r="H38" s="47"/>
      <c r="I38" s="44"/>
      <c r="J38" s="47"/>
      <c r="K38" s="47"/>
      <c r="L38" s="59"/>
      <c r="M38" s="48"/>
      <c r="N38" s="6">
        <f t="shared" si="5"/>
        <v>0</v>
      </c>
      <c r="O38" s="44"/>
      <c r="P38" s="4" t="str">
        <f t="shared" si="4"/>
        <v/>
      </c>
      <c r="Q38" s="11" t="str">
        <f t="shared" si="2"/>
        <v/>
      </c>
      <c r="R38" s="60"/>
    </row>
    <row r="39" spans="1:18" x14ac:dyDescent="0.25">
      <c r="A39" s="42"/>
      <c r="B39" s="43"/>
      <c r="C39" s="43" t="s">
        <v>171</v>
      </c>
      <c r="D39" s="5" t="str">
        <f t="shared" ca="1" si="3"/>
        <v/>
      </c>
      <c r="E39" s="45"/>
      <c r="F39" s="46"/>
      <c r="G39" s="44"/>
      <c r="H39" s="47"/>
      <c r="I39" s="44"/>
      <c r="J39" s="47"/>
      <c r="K39" s="47"/>
      <c r="L39" s="59"/>
      <c r="M39" s="48"/>
      <c r="N39" s="6">
        <f t="shared" si="5"/>
        <v>0</v>
      </c>
      <c r="O39" s="44"/>
      <c r="P39" s="4" t="str">
        <f t="shared" si="4"/>
        <v/>
      </c>
      <c r="Q39" s="11" t="str">
        <f t="shared" si="2"/>
        <v/>
      </c>
      <c r="R39" s="60"/>
    </row>
    <row r="40" spans="1:18" x14ac:dyDescent="0.25">
      <c r="A40" s="42"/>
      <c r="B40" s="43"/>
      <c r="C40" s="43" t="s">
        <v>171</v>
      </c>
      <c r="D40" s="5" t="str">
        <f t="shared" ca="1" si="3"/>
        <v/>
      </c>
      <c r="E40" s="45"/>
      <c r="F40" s="46"/>
      <c r="G40" s="44"/>
      <c r="H40" s="47"/>
      <c r="I40" s="44"/>
      <c r="J40" s="47"/>
      <c r="K40" s="47"/>
      <c r="L40" s="59"/>
      <c r="M40" s="48"/>
      <c r="N40" s="6">
        <f t="shared" si="5"/>
        <v>0</v>
      </c>
      <c r="O40" s="44"/>
      <c r="P40" s="4" t="str">
        <f t="shared" si="4"/>
        <v/>
      </c>
      <c r="Q40" s="11" t="str">
        <f t="shared" si="2"/>
        <v/>
      </c>
      <c r="R40" s="60"/>
    </row>
    <row r="41" spans="1:18" x14ac:dyDescent="0.25">
      <c r="A41" s="42"/>
      <c r="B41" s="43"/>
      <c r="C41" s="43" t="s">
        <v>171</v>
      </c>
      <c r="D41" s="5" t="str">
        <f t="shared" ca="1" si="3"/>
        <v/>
      </c>
      <c r="E41" s="45"/>
      <c r="F41" s="46"/>
      <c r="G41" s="44"/>
      <c r="H41" s="47"/>
      <c r="I41" s="44"/>
      <c r="J41" s="47"/>
      <c r="K41" s="47"/>
      <c r="L41" s="59"/>
      <c r="M41" s="48"/>
      <c r="N41" s="6">
        <f t="shared" si="5"/>
        <v>0</v>
      </c>
      <c r="O41" s="44"/>
      <c r="P41" s="4" t="str">
        <f t="shared" si="4"/>
        <v/>
      </c>
      <c r="Q41" s="11" t="str">
        <f t="shared" si="2"/>
        <v/>
      </c>
      <c r="R41" s="60"/>
    </row>
    <row r="42" spans="1:18" x14ac:dyDescent="0.25">
      <c r="A42" s="42"/>
      <c r="B42" s="43"/>
      <c r="C42" s="43" t="s">
        <v>171</v>
      </c>
      <c r="D42" s="5" t="str">
        <f t="shared" ca="1" si="3"/>
        <v/>
      </c>
      <c r="E42" s="45"/>
      <c r="F42" s="46"/>
      <c r="G42" s="44"/>
      <c r="H42" s="47"/>
      <c r="I42" s="44"/>
      <c r="J42" s="47"/>
      <c r="K42" s="47"/>
      <c r="L42" s="59"/>
      <c r="M42" s="48"/>
      <c r="N42" s="6">
        <f t="shared" si="5"/>
        <v>0</v>
      </c>
      <c r="O42" s="44"/>
      <c r="P42" s="4" t="str">
        <f t="shared" si="4"/>
        <v/>
      </c>
      <c r="Q42" s="11" t="str">
        <f t="shared" si="2"/>
        <v/>
      </c>
      <c r="R42" s="60"/>
    </row>
    <row r="43" spans="1:18" x14ac:dyDescent="0.25">
      <c r="A43" s="42"/>
      <c r="B43" s="43"/>
      <c r="C43" s="43" t="s">
        <v>171</v>
      </c>
      <c r="D43" s="5" t="str">
        <f t="shared" ca="1" si="3"/>
        <v/>
      </c>
      <c r="E43" s="45"/>
      <c r="F43" s="46"/>
      <c r="G43" s="44"/>
      <c r="H43" s="47"/>
      <c r="I43" s="44"/>
      <c r="J43" s="47"/>
      <c r="K43" s="47"/>
      <c r="L43" s="59"/>
      <c r="M43" s="48"/>
      <c r="N43" s="6">
        <f t="shared" si="5"/>
        <v>0</v>
      </c>
      <c r="O43" s="44"/>
      <c r="P43" s="4" t="str">
        <f t="shared" si="4"/>
        <v/>
      </c>
      <c r="Q43" s="11" t="str">
        <f t="shared" si="2"/>
        <v/>
      </c>
      <c r="R43" s="60"/>
    </row>
    <row r="44" spans="1:18" x14ac:dyDescent="0.25">
      <c r="A44" s="42"/>
      <c r="B44" s="43"/>
      <c r="C44" s="43" t="s">
        <v>171</v>
      </c>
      <c r="D44" s="5" t="str">
        <f t="shared" ca="1" si="3"/>
        <v/>
      </c>
      <c r="E44" s="45"/>
      <c r="F44" s="46"/>
      <c r="G44" s="44"/>
      <c r="H44" s="47"/>
      <c r="I44" s="44"/>
      <c r="J44" s="47"/>
      <c r="K44" s="47"/>
      <c r="L44" s="59"/>
      <c r="M44" s="48"/>
      <c r="N44" s="6">
        <f t="shared" si="5"/>
        <v>0</v>
      </c>
      <c r="O44" s="44"/>
      <c r="P44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4" s="11" t="str">
        <f t="shared" si="2"/>
        <v/>
      </c>
      <c r="R44" s="60"/>
    </row>
    <row r="45" spans="1:18" ht="15.75" customHeight="1" x14ac:dyDescent="0.25">
      <c r="A45" s="42"/>
      <c r="B45" s="43"/>
      <c r="C45" s="43" t="s">
        <v>171</v>
      </c>
      <c r="D45" s="5" t="str">
        <f t="shared" ca="1" si="3"/>
        <v/>
      </c>
      <c r="E45" s="45"/>
      <c r="F45" s="46"/>
      <c r="G45" s="44"/>
      <c r="H45" s="47"/>
      <c r="I45" s="44"/>
      <c r="J45" s="47"/>
      <c r="K45" s="47"/>
      <c r="L45" s="59"/>
      <c r="M45" s="48"/>
      <c r="N45" s="6">
        <f t="shared" si="5"/>
        <v>0</v>
      </c>
      <c r="O45" s="44"/>
      <c r="P45" s="4" t="e">
        <f>IF(#REF!="","","Bonjour "&amp;#REF!&amp;",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>#REF!</v>
      </c>
      <c r="Q45" s="11" t="str">
        <f t="shared" si="2"/>
        <v/>
      </c>
      <c r="R45" s="60"/>
    </row>
    <row r="46" spans="1:18" x14ac:dyDescent="0.25">
      <c r="A46" s="42"/>
      <c r="B46" s="43"/>
      <c r="C46" s="43"/>
      <c r="D46" s="5" t="str">
        <f t="shared" ca="1" si="3"/>
        <v/>
      </c>
      <c r="E46" s="45"/>
      <c r="F46" s="46"/>
      <c r="G46" s="44"/>
      <c r="H46" s="47"/>
      <c r="I46" s="44"/>
      <c r="J46" s="47"/>
      <c r="K46" s="47"/>
      <c r="L46" s="59"/>
      <c r="M46" s="48"/>
      <c r="N46" s="6">
        <f t="shared" si="5"/>
        <v>0</v>
      </c>
      <c r="O46" s="44"/>
      <c r="P46" s="4" t="str">
        <f>IF(B48="","","Bonjour "&amp;A48&amp;",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6" s="11" t="str">
        <f t="shared" si="2"/>
        <v/>
      </c>
      <c r="R46" s="60"/>
    </row>
    <row r="47" spans="1:18" x14ac:dyDescent="0.25">
      <c r="A47" s="42"/>
      <c r="B47" s="43"/>
      <c r="C47" s="43"/>
      <c r="D47" s="5" t="str">
        <f t="shared" ca="1" si="3"/>
        <v/>
      </c>
      <c r="E47" s="45"/>
      <c r="F47" s="46"/>
      <c r="G47" s="44"/>
      <c r="H47" s="47"/>
      <c r="I47" s="44"/>
      <c r="J47" s="47"/>
      <c r="K47" s="47"/>
      <c r="L47" s="59"/>
      <c r="M47" s="48"/>
      <c r="N47" s="6">
        <f t="shared" si="5"/>
        <v>0</v>
      </c>
      <c r="O47" s="44"/>
      <c r="P47" s="4" t="str">
        <f>IF(B49="","","Bonjour "&amp;A49&amp;",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7" s="11" t="str">
        <f t="shared" si="2"/>
        <v/>
      </c>
      <c r="R47" s="60"/>
    </row>
    <row r="48" spans="1:18" x14ac:dyDescent="0.25">
      <c r="A48" s="49"/>
      <c r="B48" s="50"/>
      <c r="C48" s="50"/>
      <c r="D48" s="8"/>
      <c r="E48" s="51"/>
      <c r="F48" s="52"/>
      <c r="G48" s="53"/>
      <c r="H48" s="54"/>
      <c r="I48" s="53"/>
      <c r="J48" s="47"/>
      <c r="K48" s="47"/>
      <c r="L48" s="59"/>
      <c r="M48" s="48"/>
      <c r="N48" s="6">
        <f t="shared" si="5"/>
        <v>0</v>
      </c>
      <c r="O48" s="44"/>
      <c r="P48" s="4" t="str">
        <f t="shared" ref="P48:P111" si="6">IF(B50="","","Bonjour "&amp;A50&amp;",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48" s="11" t="str">
        <f t="shared" si="2"/>
        <v/>
      </c>
      <c r="R48" s="60"/>
    </row>
    <row r="49" spans="1:18" x14ac:dyDescent="0.25">
      <c r="A49" s="49"/>
      <c r="B49" s="50"/>
      <c r="C49" s="50"/>
      <c r="D49" s="8"/>
      <c r="E49" s="51"/>
      <c r="F49" s="52"/>
      <c r="G49" s="53"/>
      <c r="H49" s="54"/>
      <c r="I49" s="53"/>
      <c r="J49" s="47"/>
      <c r="K49" s="47"/>
      <c r="L49" s="59"/>
      <c r="M49" s="48"/>
      <c r="N49" s="6">
        <f t="shared" si="5"/>
        <v>0</v>
      </c>
      <c r="O49" s="44"/>
      <c r="P49" s="4" t="str">
        <f t="shared" si="6"/>
        <v/>
      </c>
      <c r="Q49" s="11" t="str">
        <f t="shared" si="2"/>
        <v/>
      </c>
      <c r="R49" s="60"/>
    </row>
    <row r="50" spans="1:18" x14ac:dyDescent="0.25">
      <c r="A50" s="49"/>
      <c r="B50" s="50"/>
      <c r="C50" s="50"/>
      <c r="D50" s="8"/>
      <c r="E50" s="51"/>
      <c r="F50" s="52"/>
      <c r="G50" s="53"/>
      <c r="H50" s="54"/>
      <c r="I50" s="53"/>
      <c r="J50" s="47"/>
      <c r="K50" s="47"/>
      <c r="L50" s="59"/>
      <c r="M50" s="48"/>
      <c r="N50" s="6">
        <f t="shared" si="5"/>
        <v>0</v>
      </c>
      <c r="O50" s="44"/>
      <c r="P50" s="4" t="str">
        <f t="shared" si="6"/>
        <v/>
      </c>
      <c r="Q50" s="11" t="str">
        <f t="shared" si="2"/>
        <v/>
      </c>
      <c r="R50" s="60"/>
    </row>
    <row r="51" spans="1:18" x14ac:dyDescent="0.25">
      <c r="A51" s="49"/>
      <c r="B51" s="50"/>
      <c r="C51" s="50"/>
      <c r="D51" s="8"/>
      <c r="E51" s="51"/>
      <c r="F51" s="52"/>
      <c r="G51" s="53"/>
      <c r="H51" s="54"/>
      <c r="I51" s="53"/>
      <c r="J51" s="47"/>
      <c r="K51" s="47"/>
      <c r="L51" s="59"/>
      <c r="M51" s="48"/>
      <c r="N51" s="6">
        <f t="shared" si="5"/>
        <v>0</v>
      </c>
      <c r="O51" s="44"/>
      <c r="P51" s="4" t="str">
        <f t="shared" si="6"/>
        <v/>
      </c>
      <c r="Q51" s="11" t="str">
        <f t="shared" si="2"/>
        <v/>
      </c>
      <c r="R51" s="60"/>
    </row>
    <row r="52" spans="1:18" x14ac:dyDescent="0.25">
      <c r="A52" s="49"/>
      <c r="B52" s="50"/>
      <c r="C52" s="50"/>
      <c r="D52" s="8"/>
      <c r="E52" s="51"/>
      <c r="F52" s="52"/>
      <c r="G52" s="53"/>
      <c r="H52" s="54"/>
      <c r="I52" s="53"/>
      <c r="J52" s="47"/>
      <c r="K52" s="47"/>
      <c r="L52" s="59"/>
      <c r="M52" s="48"/>
      <c r="N52" s="6">
        <f t="shared" si="5"/>
        <v>0</v>
      </c>
      <c r="O52" s="44"/>
      <c r="P52" s="4" t="str">
        <f t="shared" si="6"/>
        <v/>
      </c>
      <c r="Q52" s="11" t="str">
        <f t="shared" si="2"/>
        <v/>
      </c>
      <c r="R52" s="60"/>
    </row>
    <row r="53" spans="1:18" x14ac:dyDescent="0.25">
      <c r="A53" s="49"/>
      <c r="B53" s="50"/>
      <c r="C53" s="50"/>
      <c r="D53" s="8"/>
      <c r="E53" s="51"/>
      <c r="F53" s="52"/>
      <c r="G53" s="53"/>
      <c r="H53" s="54"/>
      <c r="I53" s="53"/>
      <c r="J53" s="47"/>
      <c r="K53" s="47"/>
      <c r="L53" s="59"/>
      <c r="M53" s="48"/>
      <c r="N53" s="6">
        <f t="shared" si="5"/>
        <v>0</v>
      </c>
      <c r="O53" s="44"/>
      <c r="P53" s="4" t="str">
        <f t="shared" si="6"/>
        <v/>
      </c>
      <c r="Q53" s="11" t="str">
        <f t="shared" si="2"/>
        <v/>
      </c>
      <c r="R53" s="60"/>
    </row>
    <row r="54" spans="1:18" x14ac:dyDescent="0.25">
      <c r="A54" s="49"/>
      <c r="B54" s="50"/>
      <c r="C54" s="50"/>
      <c r="D54" s="8"/>
      <c r="E54" s="51"/>
      <c r="F54" s="52"/>
      <c r="G54" s="53"/>
      <c r="H54" s="54"/>
      <c r="I54" s="53"/>
      <c r="J54" s="47"/>
      <c r="K54" s="47"/>
      <c r="L54" s="59"/>
      <c r="M54" s="48"/>
      <c r="N54" s="6">
        <f t="shared" si="5"/>
        <v>0</v>
      </c>
      <c r="O54" s="44"/>
      <c r="P54" s="4" t="str">
        <f t="shared" si="6"/>
        <v/>
      </c>
      <c r="Q54" s="11" t="str">
        <f t="shared" si="2"/>
        <v/>
      </c>
      <c r="R54" s="60"/>
    </row>
    <row r="55" spans="1:18" x14ac:dyDescent="0.25">
      <c r="A55" s="49"/>
      <c r="B55" s="50"/>
      <c r="C55" s="50"/>
      <c r="D55" s="8"/>
      <c r="E55" s="51"/>
      <c r="F55" s="52"/>
      <c r="G55" s="53"/>
      <c r="H55" s="54"/>
      <c r="I55" s="53"/>
      <c r="J55" s="47"/>
      <c r="K55" s="47"/>
      <c r="L55" s="59"/>
      <c r="M55" s="48"/>
      <c r="N55" s="6">
        <f t="shared" si="5"/>
        <v>0</v>
      </c>
      <c r="O55" s="44"/>
      <c r="P55" s="4" t="str">
        <f t="shared" si="6"/>
        <v/>
      </c>
      <c r="Q55" s="11" t="str">
        <f t="shared" si="2"/>
        <v/>
      </c>
      <c r="R55" s="60"/>
    </row>
    <row r="56" spans="1:18" x14ac:dyDescent="0.25">
      <c r="A56" s="49"/>
      <c r="B56" s="50"/>
      <c r="C56" s="50"/>
      <c r="D56" s="8"/>
      <c r="E56" s="51"/>
      <c r="F56" s="52"/>
      <c r="G56" s="53"/>
      <c r="H56" s="54"/>
      <c r="I56" s="53"/>
      <c r="J56" s="47"/>
      <c r="K56" s="47"/>
      <c r="L56" s="59"/>
      <c r="M56" s="48"/>
      <c r="N56" s="6">
        <f t="shared" si="5"/>
        <v>0</v>
      </c>
      <c r="O56" s="44"/>
      <c r="P56" s="4" t="str">
        <f t="shared" si="6"/>
        <v/>
      </c>
      <c r="Q56" s="11" t="str">
        <f t="shared" si="2"/>
        <v/>
      </c>
      <c r="R56" s="60"/>
    </row>
    <row r="57" spans="1:18" x14ac:dyDescent="0.25">
      <c r="A57" s="49"/>
      <c r="B57" s="50"/>
      <c r="C57" s="50"/>
      <c r="D57" s="8"/>
      <c r="E57" s="51"/>
      <c r="F57" s="52"/>
      <c r="G57" s="53"/>
      <c r="H57" s="54"/>
      <c r="I57" s="53"/>
      <c r="J57" s="47"/>
      <c r="K57" s="47"/>
      <c r="L57" s="59"/>
      <c r="M57" s="48"/>
      <c r="N57" s="6">
        <f t="shared" si="5"/>
        <v>0</v>
      </c>
      <c r="O57" s="44"/>
      <c r="P57" s="4" t="str">
        <f t="shared" si="6"/>
        <v/>
      </c>
      <c r="Q57" s="11" t="str">
        <f t="shared" si="2"/>
        <v/>
      </c>
      <c r="R57" s="60"/>
    </row>
    <row r="58" spans="1:18" x14ac:dyDescent="0.25">
      <c r="A58" s="49"/>
      <c r="B58" s="50"/>
      <c r="C58" s="50"/>
      <c r="D58" s="8"/>
      <c r="E58" s="51"/>
      <c r="F58" s="52"/>
      <c r="G58" s="53"/>
      <c r="H58" s="54"/>
      <c r="I58" s="53"/>
      <c r="J58" s="47"/>
      <c r="K58" s="47"/>
      <c r="L58" s="59"/>
      <c r="M58" s="48"/>
      <c r="N58" s="6">
        <f t="shared" si="5"/>
        <v>0</v>
      </c>
      <c r="O58" s="44"/>
      <c r="P58" s="4" t="str">
        <f t="shared" si="6"/>
        <v/>
      </c>
      <c r="Q58" s="11" t="str">
        <f t="shared" si="2"/>
        <v/>
      </c>
      <c r="R58" s="60"/>
    </row>
    <row r="59" spans="1:18" x14ac:dyDescent="0.25">
      <c r="A59" s="49"/>
      <c r="B59" s="50"/>
      <c r="C59" s="50"/>
      <c r="D59" s="8"/>
      <c r="E59" s="51"/>
      <c r="F59" s="52"/>
      <c r="G59" s="53"/>
      <c r="H59" s="54"/>
      <c r="I59" s="53"/>
      <c r="J59" s="47"/>
      <c r="K59" s="47"/>
      <c r="L59" s="59"/>
      <c r="M59" s="48"/>
      <c r="N59" s="6">
        <f t="shared" si="5"/>
        <v>0</v>
      </c>
      <c r="O59" s="44"/>
      <c r="P59" s="4" t="str">
        <f t="shared" si="6"/>
        <v/>
      </c>
      <c r="Q59" s="11" t="str">
        <f t="shared" si="2"/>
        <v/>
      </c>
      <c r="R59" s="60"/>
    </row>
    <row r="60" spans="1:18" x14ac:dyDescent="0.25">
      <c r="A60" s="49"/>
      <c r="B60" s="50"/>
      <c r="C60" s="50"/>
      <c r="D60" s="8"/>
      <c r="E60" s="51"/>
      <c r="F60" s="52"/>
      <c r="G60" s="53"/>
      <c r="H60" s="54"/>
      <c r="I60" s="53"/>
      <c r="J60" s="47"/>
      <c r="K60" s="47"/>
      <c r="L60" s="59"/>
      <c r="M60" s="48"/>
      <c r="N60" s="6">
        <f t="shared" si="5"/>
        <v>0</v>
      </c>
      <c r="O60" s="44"/>
      <c r="P60" s="4" t="str">
        <f t="shared" si="6"/>
        <v/>
      </c>
      <c r="Q60" s="11" t="str">
        <f t="shared" si="2"/>
        <v/>
      </c>
      <c r="R60" s="60"/>
    </row>
    <row r="61" spans="1:18" x14ac:dyDescent="0.25">
      <c r="A61" s="49"/>
      <c r="B61" s="50"/>
      <c r="C61" s="50"/>
      <c r="D61" s="8"/>
      <c r="E61" s="51"/>
      <c r="F61" s="52"/>
      <c r="G61" s="53"/>
      <c r="H61" s="54"/>
      <c r="I61" s="53"/>
      <c r="J61" s="47"/>
      <c r="K61" s="47"/>
      <c r="L61" s="59"/>
      <c r="M61" s="48"/>
      <c r="N61" s="6">
        <f t="shared" si="5"/>
        <v>0</v>
      </c>
      <c r="O61" s="44"/>
      <c r="P61" s="4" t="str">
        <f t="shared" si="6"/>
        <v/>
      </c>
      <c r="Q61" s="11" t="str">
        <f t="shared" si="2"/>
        <v/>
      </c>
      <c r="R61" s="60"/>
    </row>
    <row r="62" spans="1:18" x14ac:dyDescent="0.25">
      <c r="A62" s="49"/>
      <c r="B62" s="50"/>
      <c r="C62" s="50"/>
      <c r="D62" s="8"/>
      <c r="E62" s="51"/>
      <c r="F62" s="52"/>
      <c r="G62" s="53"/>
      <c r="H62" s="54"/>
      <c r="I62" s="53"/>
      <c r="J62" s="47"/>
      <c r="K62" s="47"/>
      <c r="L62" s="59"/>
      <c r="M62" s="48"/>
      <c r="N62" s="6">
        <f t="shared" si="5"/>
        <v>0</v>
      </c>
      <c r="O62" s="44"/>
      <c r="P62" s="4" t="str">
        <f t="shared" si="6"/>
        <v/>
      </c>
      <c r="Q62" s="11" t="str">
        <f t="shared" si="2"/>
        <v/>
      </c>
      <c r="R62" s="60"/>
    </row>
    <row r="63" spans="1:18" x14ac:dyDescent="0.25">
      <c r="A63" s="49"/>
      <c r="B63" s="50"/>
      <c r="C63" s="50"/>
      <c r="D63" s="8"/>
      <c r="E63" s="51"/>
      <c r="F63" s="52"/>
      <c r="G63" s="53"/>
      <c r="H63" s="54"/>
      <c r="I63" s="53"/>
      <c r="J63" s="47"/>
      <c r="K63" s="47"/>
      <c r="L63" s="59"/>
      <c r="M63" s="48"/>
      <c r="N63" s="6">
        <f t="shared" si="5"/>
        <v>0</v>
      </c>
      <c r="O63" s="44"/>
      <c r="P63" s="4" t="str">
        <f t="shared" si="6"/>
        <v/>
      </c>
      <c r="Q63" s="11" t="str">
        <f t="shared" si="2"/>
        <v/>
      </c>
      <c r="R63" s="60"/>
    </row>
    <row r="64" spans="1:18" x14ac:dyDescent="0.25">
      <c r="A64" s="49"/>
      <c r="B64" s="50"/>
      <c r="C64" s="50"/>
      <c r="D64" s="8"/>
      <c r="E64" s="51"/>
      <c r="F64" s="52"/>
      <c r="G64" s="53"/>
      <c r="H64" s="54"/>
      <c r="I64" s="53"/>
      <c r="J64" s="47"/>
      <c r="K64" s="47"/>
      <c r="L64" s="59"/>
      <c r="M64" s="48"/>
      <c r="N64" s="6">
        <f t="shared" si="5"/>
        <v>0</v>
      </c>
      <c r="O64" s="44"/>
      <c r="P64" s="4" t="str">
        <f t="shared" si="6"/>
        <v/>
      </c>
      <c r="Q64" s="11" t="str">
        <f t="shared" si="2"/>
        <v/>
      </c>
      <c r="R64" s="60"/>
    </row>
    <row r="65" spans="1:18" x14ac:dyDescent="0.25">
      <c r="A65" s="49"/>
      <c r="B65" s="50"/>
      <c r="C65" s="50"/>
      <c r="D65" s="8"/>
      <c r="E65" s="51"/>
      <c r="F65" s="52"/>
      <c r="G65" s="53"/>
      <c r="H65" s="54"/>
      <c r="I65" s="53"/>
      <c r="J65" s="47"/>
      <c r="K65" s="47"/>
      <c r="L65" s="59"/>
      <c r="M65" s="48"/>
      <c r="N65" s="6">
        <f t="shared" si="5"/>
        <v>0</v>
      </c>
      <c r="O65" s="44"/>
      <c r="P65" s="4" t="str">
        <f t="shared" si="6"/>
        <v/>
      </c>
      <c r="Q65" s="11" t="str">
        <f t="shared" si="2"/>
        <v/>
      </c>
      <c r="R65" s="60"/>
    </row>
    <row r="66" spans="1:18" x14ac:dyDescent="0.25">
      <c r="A66" s="49"/>
      <c r="B66" s="50"/>
      <c r="C66" s="50"/>
      <c r="D66" s="8"/>
      <c r="E66" s="51"/>
      <c r="F66" s="52"/>
      <c r="G66" s="53"/>
      <c r="H66" s="54"/>
      <c r="I66" s="53"/>
      <c r="J66" s="47"/>
      <c r="K66" s="47"/>
      <c r="L66" s="59"/>
      <c r="M66" s="48"/>
      <c r="N66" s="6">
        <f t="shared" si="5"/>
        <v>0</v>
      </c>
      <c r="O66" s="44"/>
      <c r="P66" s="4" t="str">
        <f t="shared" si="6"/>
        <v/>
      </c>
      <c r="Q66" s="11" t="str">
        <f t="shared" si="2"/>
        <v/>
      </c>
      <c r="R66" s="60"/>
    </row>
    <row r="67" spans="1:18" x14ac:dyDescent="0.25">
      <c r="A67" s="49"/>
      <c r="B67" s="50"/>
      <c r="C67" s="50"/>
      <c r="D67" s="8"/>
      <c r="E67" s="51"/>
      <c r="F67" s="52"/>
      <c r="G67" s="53"/>
      <c r="H67" s="54"/>
      <c r="I67" s="53"/>
      <c r="J67" s="47"/>
      <c r="K67" s="47"/>
      <c r="L67" s="59"/>
      <c r="M67" s="48"/>
      <c r="N67" s="6">
        <f t="shared" si="5"/>
        <v>0</v>
      </c>
      <c r="O67" s="44"/>
      <c r="P67" s="4" t="str">
        <f t="shared" si="6"/>
        <v/>
      </c>
      <c r="Q67" s="11" t="str">
        <f t="shared" si="2"/>
        <v/>
      </c>
      <c r="R67" s="60"/>
    </row>
    <row r="68" spans="1:18" x14ac:dyDescent="0.25">
      <c r="A68" s="49"/>
      <c r="B68" s="50"/>
      <c r="C68" s="50"/>
      <c r="D68" s="8"/>
      <c r="E68" s="51"/>
      <c r="F68" s="52"/>
      <c r="G68" s="53"/>
      <c r="H68" s="54"/>
      <c r="I68" s="53"/>
      <c r="J68" s="47"/>
      <c r="K68" s="47"/>
      <c r="L68" s="59"/>
      <c r="M68" s="48"/>
      <c r="N68" s="6">
        <f t="shared" si="5"/>
        <v>0</v>
      </c>
      <c r="O68" s="44"/>
      <c r="P68" s="4" t="str">
        <f t="shared" si="6"/>
        <v/>
      </c>
      <c r="Q68" s="11" t="str">
        <f t="shared" si="2"/>
        <v/>
      </c>
      <c r="R68" s="60"/>
    </row>
    <row r="69" spans="1:18" x14ac:dyDescent="0.25">
      <c r="A69" s="49"/>
      <c r="B69" s="50"/>
      <c r="C69" s="50"/>
      <c r="D69" s="8"/>
      <c r="E69" s="51"/>
      <c r="F69" s="52"/>
      <c r="G69" s="53"/>
      <c r="H69" s="54"/>
      <c r="I69" s="53"/>
      <c r="J69" s="47"/>
      <c r="K69" s="47"/>
      <c r="L69" s="59"/>
      <c r="M69" s="48"/>
      <c r="N69" s="6">
        <f t="shared" si="5"/>
        <v>0</v>
      </c>
      <c r="O69" s="44"/>
      <c r="P69" s="4" t="str">
        <f t="shared" si="6"/>
        <v/>
      </c>
      <c r="Q69" s="11" t="str">
        <f t="shared" si="2"/>
        <v/>
      </c>
      <c r="R69" s="60"/>
    </row>
    <row r="70" spans="1:18" x14ac:dyDescent="0.25">
      <c r="A70" s="49"/>
      <c r="B70" s="50"/>
      <c r="C70" s="50"/>
      <c r="D70" s="8"/>
      <c r="E70" s="51"/>
      <c r="F70" s="52"/>
      <c r="G70" s="53"/>
      <c r="H70" s="54"/>
      <c r="I70" s="53"/>
      <c r="J70" s="47"/>
      <c r="K70" s="47"/>
      <c r="L70" s="59"/>
      <c r="M70" s="48"/>
      <c r="N70" s="6">
        <f t="shared" si="5"/>
        <v>0</v>
      </c>
      <c r="O70" s="44"/>
      <c r="P70" s="4" t="str">
        <f t="shared" si="6"/>
        <v/>
      </c>
      <c r="Q70" s="11" t="str">
        <f t="shared" si="2"/>
        <v/>
      </c>
      <c r="R70" s="60"/>
    </row>
    <row r="71" spans="1:18" x14ac:dyDescent="0.25">
      <c r="A71" s="49"/>
      <c r="B71" s="50"/>
      <c r="C71" s="50"/>
      <c r="D71" s="8"/>
      <c r="E71" s="51"/>
      <c r="F71" s="52"/>
      <c r="G71" s="53"/>
      <c r="H71" s="54"/>
      <c r="I71" s="53"/>
      <c r="J71" s="47"/>
      <c r="K71" s="47"/>
      <c r="L71" s="59"/>
      <c r="M71" s="48"/>
      <c r="N71" s="6">
        <f t="shared" si="5"/>
        <v>0</v>
      </c>
      <c r="O71" s="44"/>
      <c r="P71" s="4" t="str">
        <f t="shared" si="6"/>
        <v/>
      </c>
      <c r="Q71" s="11" t="str">
        <f t="shared" si="2"/>
        <v/>
      </c>
      <c r="R71" s="60"/>
    </row>
    <row r="72" spans="1:18" x14ac:dyDescent="0.25">
      <c r="A72" s="49"/>
      <c r="B72" s="50"/>
      <c r="C72" s="50"/>
      <c r="D72" s="8"/>
      <c r="E72" s="51"/>
      <c r="F72" s="52"/>
      <c r="G72" s="53"/>
      <c r="H72" s="54"/>
      <c r="I72" s="53"/>
      <c r="J72" s="47"/>
      <c r="K72" s="47"/>
      <c r="L72" s="59"/>
      <c r="M72" s="48"/>
      <c r="N72" s="6">
        <f t="shared" si="5"/>
        <v>0</v>
      </c>
      <c r="O72" s="44"/>
      <c r="P72" s="4" t="str">
        <f t="shared" si="6"/>
        <v/>
      </c>
      <c r="Q72" s="11" t="str">
        <f t="shared" ref="Q72:Q135" si="7">IF(B72="","","https://wa.me/"&amp;SUBSTITUTE(SUBSTITUTE(SUBSTITUTE(B72,"+","")," ",""),"-","")&amp;"?text="&amp;SUBSTITUTE(P72," ","%20"))</f>
        <v/>
      </c>
      <c r="R72" s="60"/>
    </row>
    <row r="73" spans="1:18" x14ac:dyDescent="0.25">
      <c r="A73" s="49"/>
      <c r="B73" s="50"/>
      <c r="C73" s="50"/>
      <c r="D73" s="8"/>
      <c r="E73" s="51"/>
      <c r="F73" s="52"/>
      <c r="G73" s="53"/>
      <c r="H73" s="54"/>
      <c r="I73" s="53"/>
      <c r="J73" s="47"/>
      <c r="K73" s="47"/>
      <c r="L73" s="59"/>
      <c r="M73" s="48"/>
      <c r="N73" s="6">
        <f t="shared" si="5"/>
        <v>0</v>
      </c>
      <c r="O73" s="44"/>
      <c r="P73" s="4" t="str">
        <f t="shared" si="6"/>
        <v/>
      </c>
      <c r="Q73" s="11" t="str">
        <f t="shared" si="7"/>
        <v/>
      </c>
      <c r="R73" s="60"/>
    </row>
    <row r="74" spans="1:18" x14ac:dyDescent="0.25">
      <c r="A74" s="49"/>
      <c r="B74" s="50"/>
      <c r="C74" s="50"/>
      <c r="D74" s="8"/>
      <c r="E74" s="51"/>
      <c r="F74" s="52"/>
      <c r="G74" s="53"/>
      <c r="H74" s="54"/>
      <c r="I74" s="53"/>
      <c r="J74" s="47"/>
      <c r="K74" s="47"/>
      <c r="L74" s="59"/>
      <c r="M74" s="48"/>
      <c r="N74" s="6">
        <f t="shared" si="5"/>
        <v>0</v>
      </c>
      <c r="O74" s="44"/>
      <c r="P74" s="4" t="str">
        <f t="shared" si="6"/>
        <v/>
      </c>
      <c r="Q74" s="11" t="str">
        <f t="shared" si="7"/>
        <v/>
      </c>
      <c r="R74" s="60"/>
    </row>
    <row r="75" spans="1:18" x14ac:dyDescent="0.25">
      <c r="A75" s="49"/>
      <c r="B75" s="50"/>
      <c r="C75" s="50"/>
      <c r="D75" s="8"/>
      <c r="E75" s="51"/>
      <c r="F75" s="52"/>
      <c r="G75" s="53"/>
      <c r="H75" s="54"/>
      <c r="I75" s="53"/>
      <c r="J75" s="47"/>
      <c r="K75" s="47"/>
      <c r="L75" s="59"/>
      <c r="M75" s="48"/>
      <c r="N75" s="6">
        <f t="shared" si="5"/>
        <v>0</v>
      </c>
      <c r="O75" s="44"/>
      <c r="P75" s="4" t="str">
        <f t="shared" si="6"/>
        <v/>
      </c>
      <c r="Q75" s="11" t="str">
        <f t="shared" si="7"/>
        <v/>
      </c>
      <c r="R75" s="60"/>
    </row>
    <row r="76" spans="1:18" x14ac:dyDescent="0.25">
      <c r="A76" s="49"/>
      <c r="B76" s="50"/>
      <c r="C76" s="50"/>
      <c r="D76" s="8"/>
      <c r="E76" s="51"/>
      <c r="F76" s="52"/>
      <c r="G76" s="53"/>
      <c r="H76" s="54"/>
      <c r="I76" s="53"/>
      <c r="J76" s="47"/>
      <c r="K76" s="47"/>
      <c r="L76" s="59"/>
      <c r="M76" s="48"/>
      <c r="N76" s="6">
        <f t="shared" si="5"/>
        <v>0</v>
      </c>
      <c r="O76" s="44"/>
      <c r="P76" s="4" t="str">
        <f t="shared" si="6"/>
        <v/>
      </c>
      <c r="Q76" s="11" t="str">
        <f t="shared" si="7"/>
        <v/>
      </c>
      <c r="R76" s="60"/>
    </row>
    <row r="77" spans="1:18" x14ac:dyDescent="0.25">
      <c r="A77" s="49"/>
      <c r="B77" s="50"/>
      <c r="C77" s="50"/>
      <c r="D77" s="8"/>
      <c r="E77" s="51"/>
      <c r="F77" s="52"/>
      <c r="G77" s="53"/>
      <c r="H77" s="54"/>
      <c r="I77" s="53"/>
      <c r="J77" s="47"/>
      <c r="K77" s="47"/>
      <c r="L77" s="59"/>
      <c r="M77" s="48"/>
      <c r="N77" s="6">
        <f t="shared" si="5"/>
        <v>0</v>
      </c>
      <c r="O77" s="44"/>
      <c r="P77" s="4" t="str">
        <f t="shared" si="6"/>
        <v/>
      </c>
      <c r="Q77" s="11" t="str">
        <f t="shared" si="7"/>
        <v/>
      </c>
      <c r="R77" s="60"/>
    </row>
    <row r="78" spans="1:18" x14ac:dyDescent="0.25">
      <c r="A78" s="49"/>
      <c r="B78" s="50"/>
      <c r="C78" s="50"/>
      <c r="D78" s="8"/>
      <c r="E78" s="51"/>
      <c r="F78" s="52"/>
      <c r="G78" s="53"/>
      <c r="H78" s="54"/>
      <c r="I78" s="53"/>
      <c r="J78" s="47"/>
      <c r="K78" s="47"/>
      <c r="L78" s="59"/>
      <c r="M78" s="48"/>
      <c r="N78" s="6">
        <f t="shared" si="5"/>
        <v>0</v>
      </c>
      <c r="O78" s="44"/>
      <c r="P78" s="4" t="str">
        <f t="shared" si="6"/>
        <v/>
      </c>
      <c r="Q78" s="11" t="str">
        <f t="shared" si="7"/>
        <v/>
      </c>
      <c r="R78" s="60"/>
    </row>
    <row r="79" spans="1:18" x14ac:dyDescent="0.25">
      <c r="A79" s="49"/>
      <c r="B79" s="50"/>
      <c r="C79" s="50"/>
      <c r="D79" s="8"/>
      <c r="E79" s="51"/>
      <c r="F79" s="52"/>
      <c r="G79" s="53"/>
      <c r="H79" s="54"/>
      <c r="I79" s="53"/>
      <c r="J79" s="47"/>
      <c r="K79" s="47"/>
      <c r="L79" s="59"/>
      <c r="M79" s="48"/>
      <c r="N79" s="6">
        <f t="shared" si="5"/>
        <v>0</v>
      </c>
      <c r="O79" s="44"/>
      <c r="P79" s="4" t="str">
        <f t="shared" si="6"/>
        <v/>
      </c>
      <c r="Q79" s="11" t="str">
        <f t="shared" si="7"/>
        <v/>
      </c>
      <c r="R79" s="60"/>
    </row>
    <row r="80" spans="1:18" x14ac:dyDescent="0.25">
      <c r="A80" s="49"/>
      <c r="B80" s="50"/>
      <c r="C80" s="50"/>
      <c r="D80" s="8"/>
      <c r="E80" s="51"/>
      <c r="F80" s="52"/>
      <c r="G80" s="53"/>
      <c r="H80" s="54"/>
      <c r="I80" s="53"/>
      <c r="J80" s="47"/>
      <c r="K80" s="47"/>
      <c r="L80" s="59"/>
      <c r="M80" s="48"/>
      <c r="N80" s="6">
        <f t="shared" si="5"/>
        <v>0</v>
      </c>
      <c r="O80" s="44"/>
      <c r="P80" s="4" t="str">
        <f t="shared" si="6"/>
        <v/>
      </c>
      <c r="Q80" s="11" t="str">
        <f t="shared" si="7"/>
        <v/>
      </c>
      <c r="R80" s="60"/>
    </row>
    <row r="81" spans="1:18" x14ac:dyDescent="0.25">
      <c r="A81" s="49"/>
      <c r="B81" s="50"/>
      <c r="C81" s="50"/>
      <c r="D81" s="8"/>
      <c r="E81" s="51"/>
      <c r="F81" s="52"/>
      <c r="G81" s="53"/>
      <c r="H81" s="54"/>
      <c r="I81" s="53"/>
      <c r="J81" s="47"/>
      <c r="K81" s="47"/>
      <c r="L81" s="59"/>
      <c r="M81" s="48"/>
      <c r="N81" s="6">
        <f t="shared" si="5"/>
        <v>0</v>
      </c>
      <c r="O81" s="44"/>
      <c r="P81" s="4" t="str">
        <f t="shared" si="6"/>
        <v/>
      </c>
      <c r="Q81" s="11" t="str">
        <f t="shared" si="7"/>
        <v/>
      </c>
      <c r="R81" s="60"/>
    </row>
    <row r="82" spans="1:18" x14ac:dyDescent="0.25">
      <c r="A82" s="49"/>
      <c r="B82" s="50"/>
      <c r="C82" s="50"/>
      <c r="D82" s="8"/>
      <c r="E82" s="51"/>
      <c r="F82" s="52"/>
      <c r="G82" s="53"/>
      <c r="H82" s="54"/>
      <c r="I82" s="53"/>
      <c r="J82" s="47"/>
      <c r="K82" s="47"/>
      <c r="L82" s="59"/>
      <c r="M82" s="48"/>
      <c r="N82" s="6">
        <f t="shared" si="5"/>
        <v>0</v>
      </c>
      <c r="O82" s="44"/>
      <c r="P82" s="4" t="str">
        <f t="shared" si="6"/>
        <v/>
      </c>
      <c r="Q82" s="11" t="str">
        <f t="shared" si="7"/>
        <v/>
      </c>
      <c r="R82" s="60"/>
    </row>
    <row r="83" spans="1:18" x14ac:dyDescent="0.25">
      <c r="A83" s="49"/>
      <c r="B83" s="50"/>
      <c r="C83" s="50"/>
      <c r="D83" s="8"/>
      <c r="E83" s="51"/>
      <c r="F83" s="52"/>
      <c r="G83" s="53"/>
      <c r="H83" s="54"/>
      <c r="I83" s="53"/>
      <c r="J83" s="47"/>
      <c r="K83" s="47"/>
      <c r="L83" s="59"/>
      <c r="M83" s="48"/>
      <c r="N83" s="6">
        <f t="shared" si="5"/>
        <v>0</v>
      </c>
      <c r="O83" s="44"/>
      <c r="P83" s="4" t="str">
        <f t="shared" si="6"/>
        <v/>
      </c>
      <c r="Q83" s="11" t="str">
        <f t="shared" si="7"/>
        <v/>
      </c>
      <c r="R83" s="60"/>
    </row>
    <row r="84" spans="1:18" x14ac:dyDescent="0.25">
      <c r="A84" s="49"/>
      <c r="B84" s="50"/>
      <c r="C84" s="50"/>
      <c r="D84" s="8"/>
      <c r="E84" s="51"/>
      <c r="F84" s="52"/>
      <c r="G84" s="53"/>
      <c r="H84" s="54"/>
      <c r="I84" s="53"/>
      <c r="J84" s="47"/>
      <c r="K84" s="47"/>
      <c r="L84" s="59"/>
      <c r="M84" s="48"/>
      <c r="N84" s="6">
        <f t="shared" si="5"/>
        <v>0</v>
      </c>
      <c r="O84" s="44"/>
      <c r="P84" s="4" t="str">
        <f t="shared" si="6"/>
        <v/>
      </c>
      <c r="Q84" s="11" t="str">
        <f t="shared" si="7"/>
        <v/>
      </c>
      <c r="R84" s="60"/>
    </row>
    <row r="85" spans="1:18" x14ac:dyDescent="0.25">
      <c r="A85" s="49"/>
      <c r="B85" s="50"/>
      <c r="C85" s="50"/>
      <c r="D85" s="8"/>
      <c r="E85" s="51"/>
      <c r="F85" s="52"/>
      <c r="G85" s="53"/>
      <c r="H85" s="54"/>
      <c r="I85" s="53"/>
      <c r="J85" s="47"/>
      <c r="K85" s="47"/>
      <c r="L85" s="59"/>
      <c r="M85" s="48"/>
      <c r="N85" s="6">
        <f t="shared" si="5"/>
        <v>0</v>
      </c>
      <c r="O85" s="44"/>
      <c r="P85" s="4" t="str">
        <f t="shared" si="6"/>
        <v/>
      </c>
      <c r="Q85" s="11" t="str">
        <f t="shared" si="7"/>
        <v/>
      </c>
      <c r="R85" s="60"/>
    </row>
    <row r="86" spans="1:18" x14ac:dyDescent="0.25">
      <c r="A86" s="49"/>
      <c r="B86" s="50"/>
      <c r="C86" s="50"/>
      <c r="D86" s="8"/>
      <c r="E86" s="51"/>
      <c r="F86" s="52"/>
      <c r="G86" s="53"/>
      <c r="H86" s="54"/>
      <c r="I86" s="53"/>
      <c r="J86" s="47"/>
      <c r="K86" s="47"/>
      <c r="L86" s="59"/>
      <c r="M86" s="48"/>
      <c r="N86" s="6">
        <f t="shared" si="5"/>
        <v>0</v>
      </c>
      <c r="O86" s="44"/>
      <c r="P86" s="4" t="str">
        <f t="shared" si="6"/>
        <v/>
      </c>
      <c r="Q86" s="11" t="str">
        <f t="shared" si="7"/>
        <v/>
      </c>
      <c r="R86" s="60"/>
    </row>
    <row r="87" spans="1:18" x14ac:dyDescent="0.25">
      <c r="A87" s="49"/>
      <c r="B87" s="50"/>
      <c r="C87" s="50"/>
      <c r="D87" s="8"/>
      <c r="E87" s="51"/>
      <c r="F87" s="52"/>
      <c r="G87" s="53"/>
      <c r="H87" s="54"/>
      <c r="I87" s="53"/>
      <c r="J87" s="47"/>
      <c r="K87" s="47"/>
      <c r="L87" s="59"/>
      <c r="M87" s="48"/>
      <c r="N87" s="6">
        <f t="shared" si="5"/>
        <v>0</v>
      </c>
      <c r="O87" s="44"/>
      <c r="P87" s="4" t="str">
        <f t="shared" si="6"/>
        <v/>
      </c>
      <c r="Q87" s="11" t="str">
        <f t="shared" si="7"/>
        <v/>
      </c>
      <c r="R87" s="60"/>
    </row>
    <row r="88" spans="1:18" x14ac:dyDescent="0.25">
      <c r="A88" s="49"/>
      <c r="B88" s="50"/>
      <c r="C88" s="50"/>
      <c r="D88" s="8"/>
      <c r="E88" s="51"/>
      <c r="F88" s="52"/>
      <c r="G88" s="53"/>
      <c r="H88" s="54"/>
      <c r="I88" s="53"/>
      <c r="J88" s="47"/>
      <c r="K88" s="47"/>
      <c r="L88" s="59"/>
      <c r="M88" s="48"/>
      <c r="N88" s="6">
        <f t="shared" si="5"/>
        <v>0</v>
      </c>
      <c r="O88" s="44"/>
      <c r="P88" s="4" t="str">
        <f t="shared" si="6"/>
        <v/>
      </c>
      <c r="Q88" s="11" t="str">
        <f t="shared" si="7"/>
        <v/>
      </c>
      <c r="R88" s="60"/>
    </row>
    <row r="89" spans="1:18" x14ac:dyDescent="0.25">
      <c r="A89" s="49"/>
      <c r="B89" s="50"/>
      <c r="C89" s="50"/>
      <c r="D89" s="8"/>
      <c r="E89" s="51"/>
      <c r="F89" s="52"/>
      <c r="G89" s="53"/>
      <c r="H89" s="54"/>
      <c r="I89" s="53"/>
      <c r="J89" s="47"/>
      <c r="K89" s="47"/>
      <c r="L89" s="59"/>
      <c r="M89" s="48"/>
      <c r="N89" s="6">
        <f t="shared" si="5"/>
        <v>0</v>
      </c>
      <c r="O89" s="44"/>
      <c r="P89" s="4" t="str">
        <f t="shared" si="6"/>
        <v/>
      </c>
      <c r="Q89" s="11" t="str">
        <f t="shared" si="7"/>
        <v/>
      </c>
      <c r="R89" s="60"/>
    </row>
    <row r="90" spans="1:18" x14ac:dyDescent="0.25">
      <c r="A90" s="49"/>
      <c r="B90" s="50"/>
      <c r="C90" s="50"/>
      <c r="D90" s="8"/>
      <c r="E90" s="51"/>
      <c r="F90" s="52"/>
      <c r="G90" s="53"/>
      <c r="H90" s="54"/>
      <c r="I90" s="53"/>
      <c r="J90" s="47"/>
      <c r="K90" s="47"/>
      <c r="L90" s="59"/>
      <c r="M90" s="48"/>
      <c r="N90" s="6">
        <f t="shared" si="5"/>
        <v>0</v>
      </c>
      <c r="O90" s="44"/>
      <c r="P90" s="4" t="str">
        <f t="shared" si="6"/>
        <v/>
      </c>
      <c r="Q90" s="11" t="str">
        <f t="shared" si="7"/>
        <v/>
      </c>
      <c r="R90" s="60"/>
    </row>
    <row r="91" spans="1:18" x14ac:dyDescent="0.25">
      <c r="A91" s="49"/>
      <c r="B91" s="50"/>
      <c r="C91" s="50"/>
      <c r="D91" s="8"/>
      <c r="E91" s="51"/>
      <c r="F91" s="52"/>
      <c r="G91" s="53"/>
      <c r="H91" s="54"/>
      <c r="I91" s="53"/>
      <c r="J91" s="47"/>
      <c r="K91" s="47"/>
      <c r="L91" s="59"/>
      <c r="M91" s="48"/>
      <c r="N91" s="6">
        <f t="shared" si="5"/>
        <v>0</v>
      </c>
      <c r="O91" s="44"/>
      <c r="P91" s="4" t="str">
        <f t="shared" si="6"/>
        <v/>
      </c>
      <c r="Q91" s="11" t="str">
        <f t="shared" si="7"/>
        <v/>
      </c>
      <c r="R91" s="60"/>
    </row>
    <row r="92" spans="1:18" x14ac:dyDescent="0.25">
      <c r="A92" s="49"/>
      <c r="B92" s="50"/>
      <c r="C92" s="50"/>
      <c r="D92" s="8"/>
      <c r="E92" s="51"/>
      <c r="F92" s="52"/>
      <c r="G92" s="53"/>
      <c r="H92" s="54"/>
      <c r="I92" s="53"/>
      <c r="J92" s="47"/>
      <c r="K92" s="47"/>
      <c r="L92" s="59"/>
      <c r="M92" s="48"/>
      <c r="N92" s="6">
        <f t="shared" si="5"/>
        <v>0</v>
      </c>
      <c r="O92" s="44"/>
      <c r="P92" s="4" t="str">
        <f t="shared" si="6"/>
        <v/>
      </c>
      <c r="Q92" s="11" t="str">
        <f t="shared" si="7"/>
        <v/>
      </c>
      <c r="R92" s="60"/>
    </row>
    <row r="93" spans="1:18" x14ac:dyDescent="0.25">
      <c r="A93" s="49"/>
      <c r="B93" s="50"/>
      <c r="C93" s="50"/>
      <c r="D93" s="8"/>
      <c r="E93" s="51"/>
      <c r="F93" s="52"/>
      <c r="G93" s="53"/>
      <c r="H93" s="54"/>
      <c r="I93" s="53"/>
      <c r="J93" s="47"/>
      <c r="K93" s="47"/>
      <c r="L93" s="59"/>
      <c r="M93" s="48"/>
      <c r="N93" s="6">
        <f t="shared" si="5"/>
        <v>0</v>
      </c>
      <c r="O93" s="44"/>
      <c r="P93" s="4" t="str">
        <f t="shared" si="6"/>
        <v/>
      </c>
      <c r="Q93" s="11" t="str">
        <f t="shared" si="7"/>
        <v/>
      </c>
      <c r="R93" s="60"/>
    </row>
    <row r="94" spans="1:18" x14ac:dyDescent="0.25">
      <c r="A94" s="49"/>
      <c r="B94" s="50"/>
      <c r="C94" s="50"/>
      <c r="D94" s="8"/>
      <c r="E94" s="51"/>
      <c r="F94" s="52"/>
      <c r="G94" s="53"/>
      <c r="H94" s="54"/>
      <c r="I94" s="53"/>
      <c r="J94" s="47"/>
      <c r="K94" s="47"/>
      <c r="L94" s="59"/>
      <c r="M94" s="48"/>
      <c r="N94" s="6">
        <f t="shared" si="5"/>
        <v>0</v>
      </c>
      <c r="O94" s="44"/>
      <c r="P94" s="4" t="str">
        <f t="shared" si="6"/>
        <v/>
      </c>
      <c r="Q94" s="11" t="str">
        <f t="shared" si="7"/>
        <v/>
      </c>
      <c r="R94" s="60"/>
    </row>
    <row r="95" spans="1:18" x14ac:dyDescent="0.25">
      <c r="A95" s="49"/>
      <c r="B95" s="50"/>
      <c r="C95" s="50"/>
      <c r="D95" s="8"/>
      <c r="E95" s="51"/>
      <c r="F95" s="52"/>
      <c r="G95" s="53"/>
      <c r="H95" s="54"/>
      <c r="I95" s="53"/>
      <c r="J95" s="47"/>
      <c r="K95" s="47"/>
      <c r="L95" s="59"/>
      <c r="M95" s="48"/>
      <c r="N95" s="6">
        <f t="shared" si="5"/>
        <v>0</v>
      </c>
      <c r="O95" s="44"/>
      <c r="P95" s="4" t="str">
        <f t="shared" si="6"/>
        <v/>
      </c>
      <c r="Q95" s="11" t="str">
        <f t="shared" si="7"/>
        <v/>
      </c>
      <c r="R95" s="60"/>
    </row>
    <row r="96" spans="1:18" x14ac:dyDescent="0.25">
      <c r="A96" s="49"/>
      <c r="B96" s="50"/>
      <c r="C96" s="50"/>
      <c r="D96" s="8"/>
      <c r="E96" s="51"/>
      <c r="F96" s="52"/>
      <c r="G96" s="53"/>
      <c r="H96" s="54"/>
      <c r="I96" s="53"/>
      <c r="J96" s="47"/>
      <c r="K96" s="47"/>
      <c r="L96" s="59"/>
      <c r="M96" s="48"/>
      <c r="N96" s="6">
        <f t="shared" ref="N96:N159" si="8">L96-M96</f>
        <v>0</v>
      </c>
      <c r="O96" s="44"/>
      <c r="P96" s="4" t="str">
        <f t="shared" si="6"/>
        <v/>
      </c>
      <c r="Q96" s="11" t="str">
        <f t="shared" si="7"/>
        <v/>
      </c>
      <c r="R96" s="60"/>
    </row>
    <row r="97" spans="1:18" x14ac:dyDescent="0.25">
      <c r="A97" s="49"/>
      <c r="B97" s="50"/>
      <c r="C97" s="50"/>
      <c r="D97" s="8"/>
      <c r="E97" s="51"/>
      <c r="F97" s="52"/>
      <c r="G97" s="53"/>
      <c r="H97" s="54"/>
      <c r="I97" s="53"/>
      <c r="J97" s="47"/>
      <c r="K97" s="47"/>
      <c r="L97" s="59"/>
      <c r="M97" s="48"/>
      <c r="N97" s="6">
        <f t="shared" si="8"/>
        <v>0</v>
      </c>
      <c r="O97" s="44"/>
      <c r="P97" s="4" t="str">
        <f t="shared" si="6"/>
        <v/>
      </c>
      <c r="Q97" s="11" t="str">
        <f t="shared" si="7"/>
        <v/>
      </c>
      <c r="R97" s="60"/>
    </row>
    <row r="98" spans="1:18" x14ac:dyDescent="0.25">
      <c r="A98" s="49"/>
      <c r="B98" s="50"/>
      <c r="C98" s="50"/>
      <c r="D98" s="8"/>
      <c r="E98" s="51"/>
      <c r="F98" s="52"/>
      <c r="G98" s="53"/>
      <c r="H98" s="54"/>
      <c r="I98" s="53"/>
      <c r="J98" s="47"/>
      <c r="K98" s="47"/>
      <c r="L98" s="59"/>
      <c r="M98" s="48"/>
      <c r="N98" s="6">
        <f t="shared" si="8"/>
        <v>0</v>
      </c>
      <c r="O98" s="44"/>
      <c r="P98" s="4" t="str">
        <f t="shared" si="6"/>
        <v/>
      </c>
      <c r="Q98" s="11" t="str">
        <f t="shared" si="7"/>
        <v/>
      </c>
      <c r="R98" s="60"/>
    </row>
    <row r="99" spans="1:18" x14ac:dyDescent="0.25">
      <c r="A99" s="49"/>
      <c r="B99" s="50"/>
      <c r="C99" s="50"/>
      <c r="D99" s="8"/>
      <c r="E99" s="51"/>
      <c r="F99" s="52"/>
      <c r="G99" s="53"/>
      <c r="H99" s="54"/>
      <c r="I99" s="53"/>
      <c r="J99" s="47"/>
      <c r="K99" s="47"/>
      <c r="L99" s="59"/>
      <c r="M99" s="48"/>
      <c r="N99" s="6">
        <f t="shared" si="8"/>
        <v>0</v>
      </c>
      <c r="O99" s="44"/>
      <c r="P99" s="4" t="str">
        <f t="shared" si="6"/>
        <v/>
      </c>
      <c r="Q99" s="11" t="str">
        <f t="shared" si="7"/>
        <v/>
      </c>
      <c r="R99" s="60"/>
    </row>
    <row r="100" spans="1:18" x14ac:dyDescent="0.25">
      <c r="A100" s="49"/>
      <c r="B100" s="50"/>
      <c r="C100" s="50"/>
      <c r="D100" s="8"/>
      <c r="E100" s="51"/>
      <c r="F100" s="52"/>
      <c r="G100" s="53"/>
      <c r="H100" s="54"/>
      <c r="I100" s="53"/>
      <c r="J100" s="47"/>
      <c r="K100" s="47"/>
      <c r="L100" s="59"/>
      <c r="M100" s="48"/>
      <c r="N100" s="6">
        <f t="shared" si="8"/>
        <v>0</v>
      </c>
      <c r="O100" s="44"/>
      <c r="P100" s="4" t="str">
        <f t="shared" si="6"/>
        <v/>
      </c>
      <c r="Q100" s="11" t="str">
        <f t="shared" si="7"/>
        <v/>
      </c>
      <c r="R100" s="60"/>
    </row>
    <row r="101" spans="1:18" x14ac:dyDescent="0.25">
      <c r="A101" s="49"/>
      <c r="B101" s="50"/>
      <c r="C101" s="50"/>
      <c r="D101" s="8"/>
      <c r="E101" s="51"/>
      <c r="F101" s="52"/>
      <c r="G101" s="53"/>
      <c r="H101" s="54"/>
      <c r="I101" s="53"/>
      <c r="J101" s="47"/>
      <c r="K101" s="47"/>
      <c r="L101" s="59"/>
      <c r="M101" s="48"/>
      <c r="N101" s="6">
        <f t="shared" si="8"/>
        <v>0</v>
      </c>
      <c r="O101" s="44"/>
      <c r="P101" s="4" t="str">
        <f t="shared" si="6"/>
        <v/>
      </c>
      <c r="Q101" s="11" t="str">
        <f t="shared" si="7"/>
        <v/>
      </c>
      <c r="R101" s="60"/>
    </row>
    <row r="102" spans="1:18" x14ac:dyDescent="0.25">
      <c r="A102" s="49"/>
      <c r="B102" s="50"/>
      <c r="C102" s="50"/>
      <c r="D102" s="8"/>
      <c r="E102" s="51"/>
      <c r="F102" s="52"/>
      <c r="G102" s="53"/>
      <c r="H102" s="54"/>
      <c r="I102" s="53"/>
      <c r="J102" s="47"/>
      <c r="K102" s="47"/>
      <c r="L102" s="59"/>
      <c r="M102" s="48"/>
      <c r="N102" s="6">
        <f t="shared" si="8"/>
        <v>0</v>
      </c>
      <c r="O102" s="44"/>
      <c r="P102" s="4" t="str">
        <f t="shared" si="6"/>
        <v/>
      </c>
      <c r="Q102" s="11" t="str">
        <f t="shared" si="7"/>
        <v/>
      </c>
      <c r="R102" s="60"/>
    </row>
    <row r="103" spans="1:18" x14ac:dyDescent="0.25">
      <c r="A103" s="49"/>
      <c r="B103" s="50"/>
      <c r="C103" s="50"/>
      <c r="D103" s="8"/>
      <c r="E103" s="51"/>
      <c r="F103" s="52"/>
      <c r="G103" s="53"/>
      <c r="H103" s="54"/>
      <c r="I103" s="53"/>
      <c r="J103" s="47"/>
      <c r="K103" s="47"/>
      <c r="L103" s="59"/>
      <c r="M103" s="48"/>
      <c r="N103" s="6">
        <f t="shared" si="8"/>
        <v>0</v>
      </c>
      <c r="O103" s="44"/>
      <c r="P103" s="4" t="str">
        <f t="shared" si="6"/>
        <v/>
      </c>
      <c r="Q103" s="11" t="str">
        <f t="shared" si="7"/>
        <v/>
      </c>
      <c r="R103" s="60"/>
    </row>
    <row r="104" spans="1:18" x14ac:dyDescent="0.25">
      <c r="A104" s="49"/>
      <c r="B104" s="50"/>
      <c r="C104" s="50"/>
      <c r="D104" s="8"/>
      <c r="E104" s="51"/>
      <c r="F104" s="52"/>
      <c r="G104" s="53"/>
      <c r="H104" s="54"/>
      <c r="I104" s="53"/>
      <c r="J104" s="47"/>
      <c r="K104" s="47"/>
      <c r="L104" s="59"/>
      <c r="M104" s="48"/>
      <c r="N104" s="6">
        <f t="shared" si="8"/>
        <v>0</v>
      </c>
      <c r="O104" s="44"/>
      <c r="P104" s="4" t="str">
        <f t="shared" si="6"/>
        <v/>
      </c>
      <c r="Q104" s="11" t="str">
        <f t="shared" si="7"/>
        <v/>
      </c>
      <c r="R104" s="60"/>
    </row>
    <row r="105" spans="1:18" x14ac:dyDescent="0.25">
      <c r="A105" s="49"/>
      <c r="B105" s="50"/>
      <c r="C105" s="50"/>
      <c r="D105" s="8"/>
      <c r="E105" s="51"/>
      <c r="F105" s="52"/>
      <c r="G105" s="53"/>
      <c r="H105" s="54"/>
      <c r="I105" s="53"/>
      <c r="J105" s="47"/>
      <c r="K105" s="47"/>
      <c r="L105" s="59"/>
      <c r="M105" s="48"/>
      <c r="N105" s="6">
        <f t="shared" si="8"/>
        <v>0</v>
      </c>
      <c r="O105" s="44"/>
      <c r="P105" s="4" t="str">
        <f t="shared" si="6"/>
        <v/>
      </c>
      <c r="Q105" s="11" t="str">
        <f t="shared" si="7"/>
        <v/>
      </c>
      <c r="R105" s="60"/>
    </row>
    <row r="106" spans="1:18" x14ac:dyDescent="0.25">
      <c r="A106" s="49"/>
      <c r="B106" s="50"/>
      <c r="C106" s="50"/>
      <c r="D106" s="8"/>
      <c r="E106" s="51"/>
      <c r="F106" s="52"/>
      <c r="G106" s="53"/>
      <c r="H106" s="54"/>
      <c r="I106" s="53"/>
      <c r="J106" s="47"/>
      <c r="K106" s="47"/>
      <c r="L106" s="59"/>
      <c r="M106" s="48"/>
      <c r="N106" s="6">
        <f t="shared" si="8"/>
        <v>0</v>
      </c>
      <c r="O106" s="44"/>
      <c r="P106" s="4" t="str">
        <f t="shared" si="6"/>
        <v/>
      </c>
      <c r="Q106" s="11" t="str">
        <f t="shared" si="7"/>
        <v/>
      </c>
      <c r="R106" s="60"/>
    </row>
    <row r="107" spans="1:18" x14ac:dyDescent="0.25">
      <c r="A107" s="49"/>
      <c r="B107" s="50"/>
      <c r="C107" s="50"/>
      <c r="D107" s="8"/>
      <c r="E107" s="51"/>
      <c r="F107" s="52"/>
      <c r="G107" s="53"/>
      <c r="H107" s="54"/>
      <c r="I107" s="53"/>
      <c r="J107" s="47"/>
      <c r="K107" s="47"/>
      <c r="L107" s="59"/>
      <c r="M107" s="48"/>
      <c r="N107" s="6">
        <f t="shared" si="8"/>
        <v>0</v>
      </c>
      <c r="O107" s="44"/>
      <c r="P107" s="4" t="str">
        <f t="shared" si="6"/>
        <v/>
      </c>
      <c r="Q107" s="11" t="str">
        <f t="shared" si="7"/>
        <v/>
      </c>
      <c r="R107" s="60"/>
    </row>
    <row r="108" spans="1:18" x14ac:dyDescent="0.25">
      <c r="A108" s="49"/>
      <c r="B108" s="50"/>
      <c r="C108" s="50"/>
      <c r="D108" s="8"/>
      <c r="E108" s="51"/>
      <c r="F108" s="52"/>
      <c r="G108" s="53"/>
      <c r="H108" s="54"/>
      <c r="I108" s="53"/>
      <c r="J108" s="47"/>
      <c r="K108" s="47"/>
      <c r="L108" s="59"/>
      <c r="M108" s="48"/>
      <c r="N108" s="6">
        <f t="shared" si="8"/>
        <v>0</v>
      </c>
      <c r="O108" s="44"/>
      <c r="P108" s="4" t="str">
        <f t="shared" si="6"/>
        <v/>
      </c>
      <c r="Q108" s="11" t="str">
        <f t="shared" si="7"/>
        <v/>
      </c>
      <c r="R108" s="60"/>
    </row>
    <row r="109" spans="1:18" x14ac:dyDescent="0.25">
      <c r="A109" s="49"/>
      <c r="B109" s="50"/>
      <c r="C109" s="50"/>
      <c r="D109" s="8"/>
      <c r="E109" s="51"/>
      <c r="F109" s="52"/>
      <c r="G109" s="53"/>
      <c r="H109" s="54"/>
      <c r="I109" s="53"/>
      <c r="J109" s="47"/>
      <c r="K109" s="47"/>
      <c r="L109" s="59"/>
      <c r="M109" s="48"/>
      <c r="N109" s="6">
        <f t="shared" si="8"/>
        <v>0</v>
      </c>
      <c r="O109" s="44"/>
      <c r="P109" s="4" t="str">
        <f t="shared" si="6"/>
        <v/>
      </c>
      <c r="Q109" s="11" t="str">
        <f t="shared" si="7"/>
        <v/>
      </c>
      <c r="R109" s="60"/>
    </row>
    <row r="110" spans="1:18" x14ac:dyDescent="0.25">
      <c r="A110" s="49"/>
      <c r="B110" s="50"/>
      <c r="C110" s="50"/>
      <c r="D110" s="8"/>
      <c r="E110" s="51"/>
      <c r="F110" s="52"/>
      <c r="G110" s="53"/>
      <c r="H110" s="54"/>
      <c r="I110" s="53"/>
      <c r="J110" s="47"/>
      <c r="K110" s="47"/>
      <c r="L110" s="59"/>
      <c r="M110" s="48"/>
      <c r="N110" s="6">
        <f t="shared" si="8"/>
        <v>0</v>
      </c>
      <c r="O110" s="44"/>
      <c r="P110" s="4" t="str">
        <f t="shared" si="6"/>
        <v/>
      </c>
      <c r="Q110" s="11" t="str">
        <f t="shared" si="7"/>
        <v/>
      </c>
      <c r="R110" s="60"/>
    </row>
    <row r="111" spans="1:18" x14ac:dyDescent="0.25">
      <c r="A111" s="49"/>
      <c r="B111" s="50"/>
      <c r="C111" s="50"/>
      <c r="D111" s="8"/>
      <c r="E111" s="51"/>
      <c r="F111" s="52"/>
      <c r="G111" s="53"/>
      <c r="H111" s="54"/>
      <c r="I111" s="53"/>
      <c r="J111" s="47"/>
      <c r="K111" s="47"/>
      <c r="L111" s="59"/>
      <c r="M111" s="48"/>
      <c r="N111" s="6">
        <f t="shared" si="8"/>
        <v>0</v>
      </c>
      <c r="O111" s="44"/>
      <c r="P111" s="4" t="str">
        <f t="shared" si="6"/>
        <v/>
      </c>
      <c r="Q111" s="11" t="str">
        <f t="shared" si="7"/>
        <v/>
      </c>
      <c r="R111" s="60"/>
    </row>
    <row r="112" spans="1:18" x14ac:dyDescent="0.25">
      <c r="A112" s="49"/>
      <c r="B112" s="50"/>
      <c r="C112" s="50"/>
      <c r="D112" s="8"/>
      <c r="E112" s="51"/>
      <c r="F112" s="52"/>
      <c r="G112" s="53"/>
      <c r="H112" s="54"/>
      <c r="I112" s="53"/>
      <c r="J112" s="47"/>
      <c r="K112" s="47"/>
      <c r="L112" s="59"/>
      <c r="M112" s="48"/>
      <c r="N112" s="6">
        <f t="shared" si="8"/>
        <v>0</v>
      </c>
      <c r="O112" s="44"/>
      <c r="P112" s="4" t="str">
        <f t="shared" ref="P112:P175" si="9">IF(B114="","","Bonjour "&amp;A114&amp;",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12" s="11" t="str">
        <f t="shared" si="7"/>
        <v/>
      </c>
      <c r="R112" s="60"/>
    </row>
    <row r="113" spans="1:18" x14ac:dyDescent="0.25">
      <c r="A113" s="49"/>
      <c r="B113" s="50"/>
      <c r="C113" s="50"/>
      <c r="D113" s="8"/>
      <c r="E113" s="51"/>
      <c r="F113" s="52"/>
      <c r="G113" s="53"/>
      <c r="H113" s="54"/>
      <c r="I113" s="53"/>
      <c r="J113" s="47"/>
      <c r="K113" s="47"/>
      <c r="L113" s="59"/>
      <c r="M113" s="48"/>
      <c r="N113" s="6">
        <f t="shared" si="8"/>
        <v>0</v>
      </c>
      <c r="O113" s="44"/>
      <c r="P113" s="4" t="str">
        <f t="shared" si="9"/>
        <v/>
      </c>
      <c r="Q113" s="11" t="str">
        <f t="shared" si="7"/>
        <v/>
      </c>
      <c r="R113" s="60"/>
    </row>
    <row r="114" spans="1:18" x14ac:dyDescent="0.25">
      <c r="A114" s="49"/>
      <c r="B114" s="50"/>
      <c r="C114" s="50"/>
      <c r="D114" s="8"/>
      <c r="E114" s="51"/>
      <c r="F114" s="52"/>
      <c r="G114" s="53"/>
      <c r="H114" s="54"/>
      <c r="I114" s="53"/>
      <c r="J114" s="47"/>
      <c r="K114" s="47"/>
      <c r="L114" s="59"/>
      <c r="M114" s="48"/>
      <c r="N114" s="6">
        <f t="shared" si="8"/>
        <v>0</v>
      </c>
      <c r="O114" s="44"/>
      <c r="P114" s="4" t="str">
        <f t="shared" si="9"/>
        <v/>
      </c>
      <c r="Q114" s="11" t="str">
        <f t="shared" si="7"/>
        <v/>
      </c>
      <c r="R114" s="60"/>
    </row>
    <row r="115" spans="1:18" x14ac:dyDescent="0.25">
      <c r="A115" s="49"/>
      <c r="B115" s="50"/>
      <c r="C115" s="50"/>
      <c r="D115" s="8"/>
      <c r="E115" s="51"/>
      <c r="F115" s="52"/>
      <c r="G115" s="53"/>
      <c r="H115" s="54"/>
      <c r="I115" s="53"/>
      <c r="J115" s="47"/>
      <c r="K115" s="47"/>
      <c r="L115" s="59"/>
      <c r="M115" s="48"/>
      <c r="N115" s="6">
        <f t="shared" si="8"/>
        <v>0</v>
      </c>
      <c r="O115" s="44"/>
      <c r="P115" s="4" t="str">
        <f t="shared" si="9"/>
        <v/>
      </c>
      <c r="Q115" s="11" t="str">
        <f t="shared" si="7"/>
        <v/>
      </c>
      <c r="R115" s="60"/>
    </row>
    <row r="116" spans="1:18" x14ac:dyDescent="0.25">
      <c r="A116" s="49"/>
      <c r="B116" s="50"/>
      <c r="C116" s="50"/>
      <c r="D116" s="8"/>
      <c r="E116" s="51"/>
      <c r="F116" s="52"/>
      <c r="G116" s="53"/>
      <c r="H116" s="54"/>
      <c r="I116" s="53"/>
      <c r="J116" s="47"/>
      <c r="K116" s="47"/>
      <c r="L116" s="59"/>
      <c r="M116" s="48"/>
      <c r="N116" s="6">
        <f t="shared" si="8"/>
        <v>0</v>
      </c>
      <c r="O116" s="44"/>
      <c r="P116" s="4" t="str">
        <f t="shared" si="9"/>
        <v/>
      </c>
      <c r="Q116" s="11" t="str">
        <f t="shared" si="7"/>
        <v/>
      </c>
      <c r="R116" s="60"/>
    </row>
    <row r="117" spans="1:18" x14ac:dyDescent="0.25">
      <c r="A117" s="49"/>
      <c r="B117" s="50"/>
      <c r="C117" s="50"/>
      <c r="D117" s="8"/>
      <c r="E117" s="51"/>
      <c r="F117" s="52"/>
      <c r="G117" s="53"/>
      <c r="H117" s="54"/>
      <c r="I117" s="53"/>
      <c r="J117" s="47"/>
      <c r="K117" s="47"/>
      <c r="L117" s="59"/>
      <c r="M117" s="48"/>
      <c r="N117" s="6">
        <f t="shared" si="8"/>
        <v>0</v>
      </c>
      <c r="O117" s="44"/>
      <c r="P117" s="4" t="str">
        <f t="shared" si="9"/>
        <v/>
      </c>
      <c r="Q117" s="11" t="str">
        <f t="shared" si="7"/>
        <v/>
      </c>
      <c r="R117" s="60"/>
    </row>
    <row r="118" spans="1:18" x14ac:dyDescent="0.25">
      <c r="A118" s="49"/>
      <c r="B118" s="50"/>
      <c r="C118" s="50"/>
      <c r="D118" s="8"/>
      <c r="E118" s="51"/>
      <c r="F118" s="52"/>
      <c r="G118" s="53"/>
      <c r="H118" s="54"/>
      <c r="I118" s="53"/>
      <c r="J118" s="47"/>
      <c r="K118" s="47"/>
      <c r="L118" s="59"/>
      <c r="M118" s="48"/>
      <c r="N118" s="6">
        <f t="shared" si="8"/>
        <v>0</v>
      </c>
      <c r="O118" s="44"/>
      <c r="P118" s="4" t="str">
        <f t="shared" si="9"/>
        <v/>
      </c>
      <c r="Q118" s="11" t="str">
        <f t="shared" si="7"/>
        <v/>
      </c>
      <c r="R118" s="60"/>
    </row>
    <row r="119" spans="1:18" x14ac:dyDescent="0.25">
      <c r="A119" s="49"/>
      <c r="B119" s="50"/>
      <c r="C119" s="50"/>
      <c r="D119" s="8"/>
      <c r="E119" s="51"/>
      <c r="F119" s="52"/>
      <c r="G119" s="53"/>
      <c r="H119" s="54"/>
      <c r="I119" s="53"/>
      <c r="J119" s="47"/>
      <c r="K119" s="47"/>
      <c r="L119" s="59"/>
      <c r="M119" s="48"/>
      <c r="N119" s="6">
        <f t="shared" si="8"/>
        <v>0</v>
      </c>
      <c r="O119" s="44"/>
      <c r="P119" s="4" t="str">
        <f t="shared" si="9"/>
        <v/>
      </c>
      <c r="Q119" s="11" t="str">
        <f t="shared" si="7"/>
        <v/>
      </c>
      <c r="R119" s="60"/>
    </row>
    <row r="120" spans="1:18" x14ac:dyDescent="0.25">
      <c r="A120" s="49"/>
      <c r="B120" s="50"/>
      <c r="C120" s="50"/>
      <c r="D120" s="8"/>
      <c r="E120" s="51"/>
      <c r="F120" s="52"/>
      <c r="G120" s="53"/>
      <c r="H120" s="54"/>
      <c r="I120" s="53"/>
      <c r="J120" s="47"/>
      <c r="K120" s="47"/>
      <c r="L120" s="59"/>
      <c r="M120" s="48"/>
      <c r="N120" s="6">
        <f t="shared" si="8"/>
        <v>0</v>
      </c>
      <c r="O120" s="44"/>
      <c r="P120" s="4" t="str">
        <f t="shared" si="9"/>
        <v/>
      </c>
      <c r="Q120" s="11" t="str">
        <f t="shared" si="7"/>
        <v/>
      </c>
      <c r="R120" s="60"/>
    </row>
    <row r="121" spans="1:18" x14ac:dyDescent="0.25">
      <c r="A121" s="49"/>
      <c r="B121" s="50"/>
      <c r="C121" s="50"/>
      <c r="D121" s="8"/>
      <c r="E121" s="51"/>
      <c r="F121" s="52"/>
      <c r="G121" s="53"/>
      <c r="H121" s="54"/>
      <c r="I121" s="53"/>
      <c r="J121" s="47"/>
      <c r="K121" s="47"/>
      <c r="L121" s="59"/>
      <c r="M121" s="48"/>
      <c r="N121" s="6">
        <f t="shared" si="8"/>
        <v>0</v>
      </c>
      <c r="O121" s="44"/>
      <c r="P121" s="4" t="str">
        <f t="shared" si="9"/>
        <v/>
      </c>
      <c r="Q121" s="11" t="str">
        <f t="shared" si="7"/>
        <v/>
      </c>
      <c r="R121" s="60"/>
    </row>
    <row r="122" spans="1:18" x14ac:dyDescent="0.25">
      <c r="A122" s="49"/>
      <c r="B122" s="50"/>
      <c r="C122" s="50"/>
      <c r="D122" s="8"/>
      <c r="E122" s="51"/>
      <c r="F122" s="52"/>
      <c r="G122" s="53"/>
      <c r="H122" s="54"/>
      <c r="I122" s="53"/>
      <c r="J122" s="47"/>
      <c r="K122" s="47"/>
      <c r="L122" s="59"/>
      <c r="M122" s="48"/>
      <c r="N122" s="6">
        <f t="shared" si="8"/>
        <v>0</v>
      </c>
      <c r="O122" s="44"/>
      <c r="P122" s="4" t="str">
        <f t="shared" si="9"/>
        <v/>
      </c>
      <c r="Q122" s="11" t="str">
        <f t="shared" si="7"/>
        <v/>
      </c>
      <c r="R122" s="60"/>
    </row>
    <row r="123" spans="1:18" x14ac:dyDescent="0.25">
      <c r="A123" s="49"/>
      <c r="B123" s="50"/>
      <c r="C123" s="50"/>
      <c r="D123" s="8"/>
      <c r="E123" s="51"/>
      <c r="F123" s="52"/>
      <c r="G123" s="53"/>
      <c r="H123" s="54"/>
      <c r="I123" s="53"/>
      <c r="J123" s="47"/>
      <c r="K123" s="47"/>
      <c r="L123" s="59"/>
      <c r="M123" s="48"/>
      <c r="N123" s="6">
        <f t="shared" si="8"/>
        <v>0</v>
      </c>
      <c r="O123" s="44"/>
      <c r="P123" s="4" t="str">
        <f t="shared" si="9"/>
        <v/>
      </c>
      <c r="Q123" s="11" t="str">
        <f t="shared" si="7"/>
        <v/>
      </c>
      <c r="R123" s="60"/>
    </row>
    <row r="124" spans="1:18" x14ac:dyDescent="0.25">
      <c r="A124" s="49"/>
      <c r="B124" s="50"/>
      <c r="C124" s="50"/>
      <c r="D124" s="8"/>
      <c r="E124" s="51"/>
      <c r="F124" s="52"/>
      <c r="G124" s="53"/>
      <c r="H124" s="54"/>
      <c r="I124" s="53"/>
      <c r="J124" s="47"/>
      <c r="K124" s="47"/>
      <c r="L124" s="59"/>
      <c r="M124" s="48"/>
      <c r="N124" s="6">
        <f t="shared" si="8"/>
        <v>0</v>
      </c>
      <c r="O124" s="44"/>
      <c r="P124" s="4" t="str">
        <f t="shared" si="9"/>
        <v/>
      </c>
      <c r="Q124" s="11" t="str">
        <f t="shared" si="7"/>
        <v/>
      </c>
      <c r="R124" s="60"/>
    </row>
    <row r="125" spans="1:18" x14ac:dyDescent="0.25">
      <c r="A125" s="49"/>
      <c r="B125" s="50"/>
      <c r="C125" s="50"/>
      <c r="D125" s="8"/>
      <c r="E125" s="51"/>
      <c r="F125" s="52"/>
      <c r="G125" s="53"/>
      <c r="H125" s="54"/>
      <c r="I125" s="53"/>
      <c r="J125" s="47"/>
      <c r="K125" s="47"/>
      <c r="L125" s="59"/>
      <c r="M125" s="48"/>
      <c r="N125" s="6">
        <f t="shared" si="8"/>
        <v>0</v>
      </c>
      <c r="O125" s="44"/>
      <c r="P125" s="4" t="str">
        <f t="shared" si="9"/>
        <v/>
      </c>
      <c r="Q125" s="11" t="str">
        <f t="shared" si="7"/>
        <v/>
      </c>
      <c r="R125" s="60"/>
    </row>
    <row r="126" spans="1:18" x14ac:dyDescent="0.25">
      <c r="A126" s="49"/>
      <c r="B126" s="50"/>
      <c r="C126" s="50"/>
      <c r="D126" s="8"/>
      <c r="E126" s="51"/>
      <c r="F126" s="52"/>
      <c r="G126" s="53"/>
      <c r="H126" s="54"/>
      <c r="I126" s="53"/>
      <c r="J126" s="47"/>
      <c r="K126" s="47"/>
      <c r="L126" s="59"/>
      <c r="M126" s="48"/>
      <c r="N126" s="6">
        <f t="shared" si="8"/>
        <v>0</v>
      </c>
      <c r="O126" s="44"/>
      <c r="P126" s="4" t="str">
        <f t="shared" si="9"/>
        <v/>
      </c>
      <c r="Q126" s="11" t="str">
        <f t="shared" si="7"/>
        <v/>
      </c>
      <c r="R126" s="60"/>
    </row>
    <row r="127" spans="1:18" x14ac:dyDescent="0.25">
      <c r="A127" s="49"/>
      <c r="B127" s="50"/>
      <c r="C127" s="50"/>
      <c r="D127" s="8"/>
      <c r="E127" s="51"/>
      <c r="F127" s="52"/>
      <c r="G127" s="53"/>
      <c r="H127" s="54"/>
      <c r="I127" s="53"/>
      <c r="J127" s="47"/>
      <c r="K127" s="47"/>
      <c r="L127" s="59"/>
      <c r="M127" s="48"/>
      <c r="N127" s="6">
        <f t="shared" si="8"/>
        <v>0</v>
      </c>
      <c r="O127" s="44"/>
      <c r="P127" s="4" t="str">
        <f t="shared" si="9"/>
        <v/>
      </c>
      <c r="Q127" s="11" t="str">
        <f t="shared" si="7"/>
        <v/>
      </c>
      <c r="R127" s="60"/>
    </row>
    <row r="128" spans="1:18" x14ac:dyDescent="0.25">
      <c r="A128" s="49"/>
      <c r="B128" s="50"/>
      <c r="C128" s="50"/>
      <c r="D128" s="8"/>
      <c r="E128" s="51"/>
      <c r="F128" s="52"/>
      <c r="G128" s="53"/>
      <c r="H128" s="54"/>
      <c r="I128" s="53"/>
      <c r="J128" s="47"/>
      <c r="K128" s="47"/>
      <c r="L128" s="59"/>
      <c r="M128" s="48"/>
      <c r="N128" s="6">
        <f t="shared" si="8"/>
        <v>0</v>
      </c>
      <c r="O128" s="44"/>
      <c r="P128" s="4" t="str">
        <f t="shared" si="9"/>
        <v/>
      </c>
      <c r="Q128" s="11" t="str">
        <f t="shared" si="7"/>
        <v/>
      </c>
      <c r="R128" s="60"/>
    </row>
    <row r="129" spans="1:18" x14ac:dyDescent="0.25">
      <c r="A129" s="49"/>
      <c r="B129" s="50"/>
      <c r="C129" s="50"/>
      <c r="D129" s="8"/>
      <c r="E129" s="51"/>
      <c r="F129" s="52"/>
      <c r="G129" s="53"/>
      <c r="H129" s="54"/>
      <c r="I129" s="53"/>
      <c r="J129" s="47"/>
      <c r="K129" s="47"/>
      <c r="L129" s="59"/>
      <c r="M129" s="48"/>
      <c r="N129" s="6">
        <f t="shared" si="8"/>
        <v>0</v>
      </c>
      <c r="O129" s="44"/>
      <c r="P129" s="4" t="str">
        <f t="shared" si="9"/>
        <v/>
      </c>
      <c r="Q129" s="11" t="str">
        <f t="shared" si="7"/>
        <v/>
      </c>
      <c r="R129" s="60"/>
    </row>
    <row r="130" spans="1:18" x14ac:dyDescent="0.25">
      <c r="A130" s="49"/>
      <c r="B130" s="50"/>
      <c r="C130" s="50"/>
      <c r="D130" s="8"/>
      <c r="E130" s="51"/>
      <c r="F130" s="52"/>
      <c r="G130" s="53"/>
      <c r="H130" s="54"/>
      <c r="I130" s="53"/>
      <c r="J130" s="47"/>
      <c r="K130" s="47"/>
      <c r="L130" s="59"/>
      <c r="M130" s="48"/>
      <c r="N130" s="6">
        <f t="shared" si="8"/>
        <v>0</v>
      </c>
      <c r="O130" s="44"/>
      <c r="P130" s="4" t="str">
        <f t="shared" si="9"/>
        <v/>
      </c>
      <c r="Q130" s="11" t="str">
        <f t="shared" si="7"/>
        <v/>
      </c>
      <c r="R130" s="60"/>
    </row>
    <row r="131" spans="1:18" x14ac:dyDescent="0.25">
      <c r="A131" s="49"/>
      <c r="B131" s="50"/>
      <c r="C131" s="50"/>
      <c r="D131" s="8"/>
      <c r="E131" s="51"/>
      <c r="F131" s="52"/>
      <c r="G131" s="53"/>
      <c r="H131" s="54"/>
      <c r="I131" s="53"/>
      <c r="J131" s="47"/>
      <c r="K131" s="47"/>
      <c r="L131" s="59"/>
      <c r="M131" s="48"/>
      <c r="N131" s="6">
        <f t="shared" si="8"/>
        <v>0</v>
      </c>
      <c r="O131" s="44"/>
      <c r="P131" s="4" t="str">
        <f t="shared" si="9"/>
        <v/>
      </c>
      <c r="Q131" s="11" t="str">
        <f t="shared" si="7"/>
        <v/>
      </c>
      <c r="R131" s="60"/>
    </row>
    <row r="132" spans="1:18" x14ac:dyDescent="0.25">
      <c r="A132" s="49"/>
      <c r="B132" s="50"/>
      <c r="C132" s="50"/>
      <c r="D132" s="8"/>
      <c r="E132" s="51"/>
      <c r="F132" s="52"/>
      <c r="G132" s="53"/>
      <c r="H132" s="54"/>
      <c r="I132" s="53"/>
      <c r="J132" s="47"/>
      <c r="K132" s="47"/>
      <c r="L132" s="59"/>
      <c r="M132" s="48"/>
      <c r="N132" s="6">
        <f t="shared" si="8"/>
        <v>0</v>
      </c>
      <c r="O132" s="44"/>
      <c r="P132" s="4" t="str">
        <f t="shared" si="9"/>
        <v/>
      </c>
      <c r="Q132" s="11" t="str">
        <f t="shared" si="7"/>
        <v/>
      </c>
      <c r="R132" s="60"/>
    </row>
    <row r="133" spans="1:18" x14ac:dyDescent="0.25">
      <c r="A133" s="49"/>
      <c r="B133" s="50"/>
      <c r="C133" s="50"/>
      <c r="D133" s="8"/>
      <c r="E133" s="51"/>
      <c r="F133" s="52"/>
      <c r="G133" s="53"/>
      <c r="H133" s="54"/>
      <c r="I133" s="53"/>
      <c r="J133" s="47"/>
      <c r="K133" s="47"/>
      <c r="L133" s="59"/>
      <c r="M133" s="48"/>
      <c r="N133" s="6">
        <f t="shared" si="8"/>
        <v>0</v>
      </c>
      <c r="O133" s="44"/>
      <c r="P133" s="4" t="str">
        <f t="shared" si="9"/>
        <v/>
      </c>
      <c r="Q133" s="11" t="str">
        <f t="shared" si="7"/>
        <v/>
      </c>
      <c r="R133" s="60"/>
    </row>
    <row r="134" spans="1:18" x14ac:dyDescent="0.25">
      <c r="A134" s="49"/>
      <c r="B134" s="50"/>
      <c r="C134" s="50"/>
      <c r="D134" s="8"/>
      <c r="E134" s="51"/>
      <c r="F134" s="52"/>
      <c r="G134" s="53"/>
      <c r="H134" s="54"/>
      <c r="I134" s="53"/>
      <c r="J134" s="47"/>
      <c r="K134" s="47"/>
      <c r="L134" s="59"/>
      <c r="M134" s="48"/>
      <c r="N134" s="6">
        <f t="shared" si="8"/>
        <v>0</v>
      </c>
      <c r="O134" s="44"/>
      <c r="P134" s="4" t="str">
        <f t="shared" si="9"/>
        <v/>
      </c>
      <c r="Q134" s="11" t="str">
        <f t="shared" si="7"/>
        <v/>
      </c>
      <c r="R134" s="60"/>
    </row>
    <row r="135" spans="1:18" x14ac:dyDescent="0.25">
      <c r="A135" s="49"/>
      <c r="B135" s="50"/>
      <c r="C135" s="50"/>
      <c r="D135" s="8"/>
      <c r="E135" s="51"/>
      <c r="F135" s="52"/>
      <c r="G135" s="53"/>
      <c r="H135" s="54"/>
      <c r="I135" s="53"/>
      <c r="J135" s="47"/>
      <c r="K135" s="47"/>
      <c r="L135" s="59"/>
      <c r="M135" s="48"/>
      <c r="N135" s="6">
        <f t="shared" si="8"/>
        <v>0</v>
      </c>
      <c r="O135" s="44"/>
      <c r="P135" s="4" t="str">
        <f t="shared" si="9"/>
        <v/>
      </c>
      <c r="Q135" s="11" t="str">
        <f t="shared" si="7"/>
        <v/>
      </c>
      <c r="R135" s="60"/>
    </row>
    <row r="136" spans="1:18" x14ac:dyDescent="0.25">
      <c r="A136" s="49"/>
      <c r="B136" s="50"/>
      <c r="C136" s="50"/>
      <c r="D136" s="8"/>
      <c r="E136" s="51"/>
      <c r="F136" s="52"/>
      <c r="G136" s="53"/>
      <c r="H136" s="54"/>
      <c r="I136" s="53"/>
      <c r="J136" s="47"/>
      <c r="K136" s="47"/>
      <c r="L136" s="59"/>
      <c r="M136" s="48"/>
      <c r="N136" s="6">
        <f t="shared" si="8"/>
        <v>0</v>
      </c>
      <c r="O136" s="44"/>
      <c r="P136" s="4" t="str">
        <f t="shared" si="9"/>
        <v/>
      </c>
      <c r="Q136" s="11" t="str">
        <f t="shared" ref="Q136:Q199" si="10">IF(B136="","","https://wa.me/"&amp;SUBSTITUTE(SUBSTITUTE(SUBSTITUTE(B136,"+","")," ",""),"-","")&amp;"?text="&amp;SUBSTITUTE(P136," ","%20"))</f>
        <v/>
      </c>
      <c r="R136" s="60"/>
    </row>
    <row r="137" spans="1:18" x14ac:dyDescent="0.25">
      <c r="A137" s="49"/>
      <c r="B137" s="50"/>
      <c r="C137" s="50"/>
      <c r="D137" s="8"/>
      <c r="E137" s="51"/>
      <c r="F137" s="52"/>
      <c r="G137" s="53"/>
      <c r="H137" s="54"/>
      <c r="I137" s="53"/>
      <c r="J137" s="47"/>
      <c r="K137" s="47"/>
      <c r="L137" s="59"/>
      <c r="M137" s="48"/>
      <c r="N137" s="6">
        <f t="shared" si="8"/>
        <v>0</v>
      </c>
      <c r="O137" s="44"/>
      <c r="P137" s="4" t="str">
        <f t="shared" si="9"/>
        <v/>
      </c>
      <c r="Q137" s="11" t="str">
        <f t="shared" si="10"/>
        <v/>
      </c>
      <c r="R137" s="60"/>
    </row>
    <row r="138" spans="1:18" x14ac:dyDescent="0.25">
      <c r="A138" s="49"/>
      <c r="B138" s="50"/>
      <c r="C138" s="50"/>
      <c r="D138" s="8"/>
      <c r="E138" s="51"/>
      <c r="F138" s="52"/>
      <c r="G138" s="53"/>
      <c r="H138" s="54"/>
      <c r="I138" s="53"/>
      <c r="J138" s="47"/>
      <c r="K138" s="47"/>
      <c r="L138" s="59"/>
      <c r="M138" s="48"/>
      <c r="N138" s="6">
        <f t="shared" si="8"/>
        <v>0</v>
      </c>
      <c r="O138" s="44"/>
      <c r="P138" s="4" t="str">
        <f t="shared" si="9"/>
        <v/>
      </c>
      <c r="Q138" s="11" t="str">
        <f t="shared" si="10"/>
        <v/>
      </c>
      <c r="R138" s="60"/>
    </row>
    <row r="139" spans="1:18" x14ac:dyDescent="0.25">
      <c r="A139" s="49"/>
      <c r="B139" s="50"/>
      <c r="C139" s="50"/>
      <c r="D139" s="8"/>
      <c r="E139" s="51"/>
      <c r="F139" s="52"/>
      <c r="G139" s="53"/>
      <c r="H139" s="54"/>
      <c r="I139" s="53"/>
      <c r="J139" s="47"/>
      <c r="K139" s="47"/>
      <c r="L139" s="59"/>
      <c r="M139" s="48"/>
      <c r="N139" s="6">
        <f t="shared" si="8"/>
        <v>0</v>
      </c>
      <c r="O139" s="44"/>
      <c r="P139" s="4" t="str">
        <f t="shared" si="9"/>
        <v/>
      </c>
      <c r="Q139" s="11" t="str">
        <f t="shared" si="10"/>
        <v/>
      </c>
      <c r="R139" s="60"/>
    </row>
    <row r="140" spans="1:18" x14ac:dyDescent="0.25">
      <c r="A140" s="49"/>
      <c r="B140" s="50"/>
      <c r="C140" s="50"/>
      <c r="D140" s="8"/>
      <c r="E140" s="51"/>
      <c r="F140" s="52"/>
      <c r="G140" s="53"/>
      <c r="H140" s="54"/>
      <c r="I140" s="53"/>
      <c r="J140" s="47"/>
      <c r="K140" s="47"/>
      <c r="L140" s="59"/>
      <c r="M140" s="48"/>
      <c r="N140" s="6">
        <f t="shared" si="8"/>
        <v>0</v>
      </c>
      <c r="O140" s="44"/>
      <c r="P140" s="4" t="str">
        <f t="shared" si="9"/>
        <v/>
      </c>
      <c r="Q140" s="11" t="str">
        <f t="shared" si="10"/>
        <v/>
      </c>
      <c r="R140" s="60"/>
    </row>
    <row r="141" spans="1:18" x14ac:dyDescent="0.25">
      <c r="A141" s="49"/>
      <c r="B141" s="50"/>
      <c r="C141" s="50"/>
      <c r="D141" s="8"/>
      <c r="E141" s="51"/>
      <c r="F141" s="52"/>
      <c r="G141" s="53"/>
      <c r="H141" s="54"/>
      <c r="I141" s="53"/>
      <c r="J141" s="47"/>
      <c r="K141" s="47"/>
      <c r="L141" s="59"/>
      <c r="M141" s="48"/>
      <c r="N141" s="6">
        <f t="shared" si="8"/>
        <v>0</v>
      </c>
      <c r="O141" s="44"/>
      <c r="P141" s="4" t="str">
        <f t="shared" si="9"/>
        <v/>
      </c>
      <c r="Q141" s="11" t="str">
        <f t="shared" si="10"/>
        <v/>
      </c>
      <c r="R141" s="60"/>
    </row>
    <row r="142" spans="1:18" x14ac:dyDescent="0.25">
      <c r="A142" s="49"/>
      <c r="B142" s="50"/>
      <c r="C142" s="50"/>
      <c r="D142" s="8"/>
      <c r="E142" s="51"/>
      <c r="F142" s="52"/>
      <c r="G142" s="53"/>
      <c r="H142" s="54"/>
      <c r="I142" s="53"/>
      <c r="J142" s="47"/>
      <c r="K142" s="47"/>
      <c r="L142" s="59"/>
      <c r="M142" s="48"/>
      <c r="N142" s="6">
        <f t="shared" si="8"/>
        <v>0</v>
      </c>
      <c r="O142" s="44"/>
      <c r="P142" s="4" t="str">
        <f t="shared" si="9"/>
        <v/>
      </c>
      <c r="Q142" s="11" t="str">
        <f t="shared" si="10"/>
        <v/>
      </c>
      <c r="R142" s="60"/>
    </row>
    <row r="143" spans="1:18" x14ac:dyDescent="0.25">
      <c r="A143" s="49"/>
      <c r="B143" s="50"/>
      <c r="C143" s="50"/>
      <c r="D143" s="8"/>
      <c r="E143" s="51"/>
      <c r="F143" s="52"/>
      <c r="G143" s="53"/>
      <c r="H143" s="54"/>
      <c r="I143" s="53"/>
      <c r="J143" s="47"/>
      <c r="K143" s="47"/>
      <c r="L143" s="59"/>
      <c r="M143" s="48"/>
      <c r="N143" s="6">
        <f t="shared" si="8"/>
        <v>0</v>
      </c>
      <c r="O143" s="44"/>
      <c r="P143" s="4" t="str">
        <f t="shared" si="9"/>
        <v/>
      </c>
      <c r="Q143" s="11" t="str">
        <f t="shared" si="10"/>
        <v/>
      </c>
      <c r="R143" s="60"/>
    </row>
    <row r="144" spans="1:18" x14ac:dyDescent="0.25">
      <c r="A144" s="49"/>
      <c r="B144" s="50"/>
      <c r="C144" s="50"/>
      <c r="D144" s="8"/>
      <c r="E144" s="51"/>
      <c r="F144" s="52"/>
      <c r="G144" s="53"/>
      <c r="H144" s="54"/>
      <c r="I144" s="53"/>
      <c r="J144" s="47"/>
      <c r="K144" s="47"/>
      <c r="L144" s="59"/>
      <c r="M144" s="48"/>
      <c r="N144" s="6">
        <f t="shared" si="8"/>
        <v>0</v>
      </c>
      <c r="O144" s="44"/>
      <c r="P144" s="4" t="str">
        <f t="shared" si="9"/>
        <v/>
      </c>
      <c r="Q144" s="11" t="str">
        <f t="shared" si="10"/>
        <v/>
      </c>
      <c r="R144" s="60"/>
    </row>
    <row r="145" spans="1:18" x14ac:dyDescent="0.25">
      <c r="A145" s="49"/>
      <c r="B145" s="50"/>
      <c r="C145" s="50"/>
      <c r="D145" s="8"/>
      <c r="E145" s="51"/>
      <c r="F145" s="52"/>
      <c r="G145" s="53"/>
      <c r="H145" s="54"/>
      <c r="I145" s="53"/>
      <c r="J145" s="47"/>
      <c r="K145" s="47"/>
      <c r="L145" s="59"/>
      <c r="M145" s="48"/>
      <c r="N145" s="6">
        <f t="shared" si="8"/>
        <v>0</v>
      </c>
      <c r="O145" s="44"/>
      <c r="P145" s="4" t="str">
        <f t="shared" si="9"/>
        <v/>
      </c>
      <c r="Q145" s="11" t="str">
        <f t="shared" si="10"/>
        <v/>
      </c>
      <c r="R145" s="60"/>
    </row>
    <row r="146" spans="1:18" x14ac:dyDescent="0.25">
      <c r="A146" s="49"/>
      <c r="B146" s="50"/>
      <c r="C146" s="50"/>
      <c r="D146" s="8"/>
      <c r="E146" s="51"/>
      <c r="F146" s="52"/>
      <c r="G146" s="53"/>
      <c r="H146" s="54"/>
      <c r="I146" s="53"/>
      <c r="J146" s="47"/>
      <c r="K146" s="47"/>
      <c r="L146" s="59"/>
      <c r="M146" s="48"/>
      <c r="N146" s="6">
        <f t="shared" si="8"/>
        <v>0</v>
      </c>
      <c r="O146" s="44"/>
      <c r="P146" s="4" t="str">
        <f t="shared" si="9"/>
        <v/>
      </c>
      <c r="Q146" s="11" t="str">
        <f t="shared" si="10"/>
        <v/>
      </c>
      <c r="R146" s="60"/>
    </row>
    <row r="147" spans="1:18" x14ac:dyDescent="0.25">
      <c r="A147" s="49"/>
      <c r="B147" s="50"/>
      <c r="C147" s="50"/>
      <c r="D147" s="8"/>
      <c r="E147" s="51"/>
      <c r="F147" s="52"/>
      <c r="G147" s="53"/>
      <c r="H147" s="54"/>
      <c r="I147" s="53"/>
      <c r="J147" s="47"/>
      <c r="K147" s="47"/>
      <c r="L147" s="59"/>
      <c r="M147" s="48"/>
      <c r="N147" s="6">
        <f t="shared" si="8"/>
        <v>0</v>
      </c>
      <c r="O147" s="44"/>
      <c r="P147" s="4" t="str">
        <f t="shared" si="9"/>
        <v/>
      </c>
      <c r="Q147" s="11" t="str">
        <f t="shared" si="10"/>
        <v/>
      </c>
      <c r="R147" s="60"/>
    </row>
    <row r="148" spans="1:18" x14ac:dyDescent="0.25">
      <c r="A148" s="49"/>
      <c r="B148" s="50"/>
      <c r="C148" s="50"/>
      <c r="D148" s="8"/>
      <c r="E148" s="51"/>
      <c r="F148" s="52"/>
      <c r="G148" s="53"/>
      <c r="H148" s="54"/>
      <c r="I148" s="53"/>
      <c r="J148" s="47"/>
      <c r="K148" s="47"/>
      <c r="L148" s="59"/>
      <c r="M148" s="48"/>
      <c r="N148" s="6">
        <f t="shared" si="8"/>
        <v>0</v>
      </c>
      <c r="O148" s="44"/>
      <c r="P148" s="4" t="str">
        <f t="shared" si="9"/>
        <v/>
      </c>
      <c r="Q148" s="11" t="str">
        <f t="shared" si="10"/>
        <v/>
      </c>
      <c r="R148" s="60"/>
    </row>
    <row r="149" spans="1:18" x14ac:dyDescent="0.25">
      <c r="A149" s="49"/>
      <c r="B149" s="50"/>
      <c r="C149" s="50"/>
      <c r="D149" s="8"/>
      <c r="E149" s="51"/>
      <c r="F149" s="52"/>
      <c r="G149" s="53"/>
      <c r="H149" s="54"/>
      <c r="I149" s="53"/>
      <c r="J149" s="47"/>
      <c r="K149" s="47"/>
      <c r="L149" s="59"/>
      <c r="M149" s="48"/>
      <c r="N149" s="6">
        <f t="shared" si="8"/>
        <v>0</v>
      </c>
      <c r="O149" s="44"/>
      <c r="P149" s="4" t="str">
        <f t="shared" si="9"/>
        <v/>
      </c>
      <c r="Q149" s="11" t="str">
        <f t="shared" si="10"/>
        <v/>
      </c>
      <c r="R149" s="60"/>
    </row>
    <row r="150" spans="1:18" x14ac:dyDescent="0.25">
      <c r="A150" s="49"/>
      <c r="B150" s="50"/>
      <c r="C150" s="50"/>
      <c r="D150" s="8"/>
      <c r="E150" s="51"/>
      <c r="F150" s="52"/>
      <c r="G150" s="53"/>
      <c r="H150" s="54"/>
      <c r="I150" s="53"/>
      <c r="J150" s="47"/>
      <c r="K150" s="47"/>
      <c r="L150" s="59"/>
      <c r="M150" s="48"/>
      <c r="N150" s="6">
        <f t="shared" si="8"/>
        <v>0</v>
      </c>
      <c r="O150" s="44"/>
      <c r="P150" s="4" t="str">
        <f t="shared" si="9"/>
        <v/>
      </c>
      <c r="Q150" s="11" t="str">
        <f t="shared" si="10"/>
        <v/>
      </c>
      <c r="R150" s="60"/>
    </row>
    <row r="151" spans="1:18" x14ac:dyDescent="0.25">
      <c r="A151" s="49"/>
      <c r="B151" s="50"/>
      <c r="C151" s="50"/>
      <c r="D151" s="8"/>
      <c r="E151" s="51"/>
      <c r="F151" s="52"/>
      <c r="G151" s="53"/>
      <c r="H151" s="54"/>
      <c r="I151" s="53"/>
      <c r="J151" s="47"/>
      <c r="K151" s="47"/>
      <c r="L151" s="59"/>
      <c r="M151" s="48"/>
      <c r="N151" s="6">
        <f t="shared" si="8"/>
        <v>0</v>
      </c>
      <c r="O151" s="44"/>
      <c r="P151" s="4" t="str">
        <f t="shared" si="9"/>
        <v/>
      </c>
      <c r="Q151" s="11" t="str">
        <f t="shared" si="10"/>
        <v/>
      </c>
      <c r="R151" s="60"/>
    </row>
    <row r="152" spans="1:18" x14ac:dyDescent="0.25">
      <c r="A152" s="49"/>
      <c r="B152" s="50"/>
      <c r="C152" s="50"/>
      <c r="D152" s="8"/>
      <c r="E152" s="51"/>
      <c r="F152" s="52"/>
      <c r="G152" s="53"/>
      <c r="H152" s="54"/>
      <c r="I152" s="53"/>
      <c r="J152" s="47"/>
      <c r="K152" s="47"/>
      <c r="L152" s="59"/>
      <c r="M152" s="48"/>
      <c r="N152" s="6">
        <f t="shared" si="8"/>
        <v>0</v>
      </c>
      <c r="O152" s="44"/>
      <c r="P152" s="4" t="str">
        <f t="shared" si="9"/>
        <v/>
      </c>
      <c r="Q152" s="11" t="str">
        <f t="shared" si="10"/>
        <v/>
      </c>
      <c r="R152" s="60"/>
    </row>
    <row r="153" spans="1:18" x14ac:dyDescent="0.25">
      <c r="A153" s="49"/>
      <c r="B153" s="50"/>
      <c r="C153" s="50"/>
      <c r="D153" s="8"/>
      <c r="E153" s="51"/>
      <c r="F153" s="52"/>
      <c r="G153" s="53"/>
      <c r="H153" s="54"/>
      <c r="I153" s="53"/>
      <c r="J153" s="47"/>
      <c r="K153" s="47"/>
      <c r="L153" s="59"/>
      <c r="M153" s="48"/>
      <c r="N153" s="6">
        <f t="shared" si="8"/>
        <v>0</v>
      </c>
      <c r="O153" s="44"/>
      <c r="P153" s="4" t="str">
        <f t="shared" si="9"/>
        <v/>
      </c>
      <c r="Q153" s="11" t="str">
        <f t="shared" si="10"/>
        <v/>
      </c>
      <c r="R153" s="60"/>
    </row>
    <row r="154" spans="1:18" x14ac:dyDescent="0.25">
      <c r="A154" s="49"/>
      <c r="B154" s="50"/>
      <c r="C154" s="50"/>
      <c r="D154" s="8"/>
      <c r="E154" s="51"/>
      <c r="F154" s="52"/>
      <c r="G154" s="53"/>
      <c r="H154" s="54"/>
      <c r="I154" s="53"/>
      <c r="J154" s="47"/>
      <c r="K154" s="47"/>
      <c r="L154" s="59"/>
      <c r="M154" s="48"/>
      <c r="N154" s="6">
        <f t="shared" si="8"/>
        <v>0</v>
      </c>
      <c r="O154" s="44"/>
      <c r="P154" s="4" t="str">
        <f t="shared" si="9"/>
        <v/>
      </c>
      <c r="Q154" s="11" t="str">
        <f t="shared" si="10"/>
        <v/>
      </c>
      <c r="R154" s="60"/>
    </row>
    <row r="155" spans="1:18" x14ac:dyDescent="0.25">
      <c r="A155" s="49"/>
      <c r="B155" s="50"/>
      <c r="C155" s="50"/>
      <c r="D155" s="8"/>
      <c r="E155" s="51"/>
      <c r="F155" s="52"/>
      <c r="G155" s="53"/>
      <c r="H155" s="54"/>
      <c r="I155" s="53"/>
      <c r="J155" s="47"/>
      <c r="K155" s="47"/>
      <c r="L155" s="59"/>
      <c r="M155" s="48"/>
      <c r="N155" s="6">
        <f t="shared" si="8"/>
        <v>0</v>
      </c>
      <c r="O155" s="44"/>
      <c r="P155" s="4" t="str">
        <f t="shared" si="9"/>
        <v/>
      </c>
      <c r="Q155" s="11" t="str">
        <f t="shared" si="10"/>
        <v/>
      </c>
      <c r="R155" s="60"/>
    </row>
    <row r="156" spans="1:18" x14ac:dyDescent="0.25">
      <c r="A156" s="49"/>
      <c r="B156" s="50"/>
      <c r="C156" s="50"/>
      <c r="D156" s="8"/>
      <c r="E156" s="51"/>
      <c r="F156" s="52"/>
      <c r="G156" s="53"/>
      <c r="H156" s="54"/>
      <c r="I156" s="53"/>
      <c r="J156" s="47"/>
      <c r="K156" s="47"/>
      <c r="L156" s="59"/>
      <c r="M156" s="48"/>
      <c r="N156" s="6">
        <f t="shared" si="8"/>
        <v>0</v>
      </c>
      <c r="O156" s="44"/>
      <c r="P156" s="4" t="str">
        <f t="shared" si="9"/>
        <v/>
      </c>
      <c r="Q156" s="11" t="str">
        <f t="shared" si="10"/>
        <v/>
      </c>
      <c r="R156" s="60"/>
    </row>
    <row r="157" spans="1:18" x14ac:dyDescent="0.25">
      <c r="A157" s="49"/>
      <c r="B157" s="50"/>
      <c r="C157" s="50"/>
      <c r="D157" s="8"/>
      <c r="E157" s="51"/>
      <c r="F157" s="52"/>
      <c r="G157" s="53"/>
      <c r="H157" s="54"/>
      <c r="I157" s="53"/>
      <c r="J157" s="47"/>
      <c r="K157" s="47"/>
      <c r="L157" s="59"/>
      <c r="M157" s="48"/>
      <c r="N157" s="6">
        <f t="shared" si="8"/>
        <v>0</v>
      </c>
      <c r="O157" s="44"/>
      <c r="P157" s="4" t="str">
        <f t="shared" si="9"/>
        <v/>
      </c>
      <c r="Q157" s="11" t="str">
        <f t="shared" si="10"/>
        <v/>
      </c>
      <c r="R157" s="60"/>
    </row>
    <row r="158" spans="1:18" x14ac:dyDescent="0.25">
      <c r="A158" s="49"/>
      <c r="B158" s="50"/>
      <c r="C158" s="50"/>
      <c r="D158" s="8"/>
      <c r="E158" s="51"/>
      <c r="F158" s="52"/>
      <c r="G158" s="53"/>
      <c r="H158" s="54"/>
      <c r="I158" s="53"/>
      <c r="J158" s="47"/>
      <c r="K158" s="47"/>
      <c r="L158" s="59"/>
      <c r="M158" s="48"/>
      <c r="N158" s="6">
        <f t="shared" si="8"/>
        <v>0</v>
      </c>
      <c r="O158" s="44"/>
      <c r="P158" s="4" t="str">
        <f t="shared" si="9"/>
        <v/>
      </c>
      <c r="Q158" s="11" t="str">
        <f t="shared" si="10"/>
        <v/>
      </c>
      <c r="R158" s="60"/>
    </row>
    <row r="159" spans="1:18" x14ac:dyDescent="0.25">
      <c r="A159" s="49"/>
      <c r="B159" s="50"/>
      <c r="C159" s="50"/>
      <c r="D159" s="8"/>
      <c r="E159" s="51"/>
      <c r="F159" s="52"/>
      <c r="G159" s="53"/>
      <c r="H159" s="54"/>
      <c r="I159" s="53"/>
      <c r="J159" s="47"/>
      <c r="K159" s="47"/>
      <c r="L159" s="59"/>
      <c r="M159" s="48"/>
      <c r="N159" s="6">
        <f t="shared" si="8"/>
        <v>0</v>
      </c>
      <c r="O159" s="44"/>
      <c r="P159" s="4" t="str">
        <f t="shared" si="9"/>
        <v/>
      </c>
      <c r="Q159" s="11" t="str">
        <f t="shared" si="10"/>
        <v/>
      </c>
      <c r="R159" s="60"/>
    </row>
    <row r="160" spans="1:18" x14ac:dyDescent="0.25">
      <c r="A160" s="49"/>
      <c r="B160" s="50"/>
      <c r="C160" s="50"/>
      <c r="D160" s="8"/>
      <c r="E160" s="51"/>
      <c r="F160" s="52"/>
      <c r="G160" s="53"/>
      <c r="H160" s="54"/>
      <c r="I160" s="53"/>
      <c r="J160" s="47"/>
      <c r="K160" s="47"/>
      <c r="L160" s="59"/>
      <c r="M160" s="48"/>
      <c r="N160" s="6">
        <f t="shared" ref="N160:N204" si="11">L160-M160</f>
        <v>0</v>
      </c>
      <c r="O160" s="44"/>
      <c r="P160" s="4" t="str">
        <f t="shared" si="9"/>
        <v/>
      </c>
      <c r="Q160" s="11" t="str">
        <f t="shared" si="10"/>
        <v/>
      </c>
      <c r="R160" s="60"/>
    </row>
    <row r="161" spans="1:18" x14ac:dyDescent="0.25">
      <c r="A161" s="49"/>
      <c r="B161" s="50"/>
      <c r="C161" s="50"/>
      <c r="D161" s="8"/>
      <c r="E161" s="51"/>
      <c r="F161" s="52"/>
      <c r="G161" s="53"/>
      <c r="H161" s="54"/>
      <c r="I161" s="53"/>
      <c r="J161" s="47"/>
      <c r="K161" s="47"/>
      <c r="L161" s="59"/>
      <c r="M161" s="48"/>
      <c r="N161" s="6">
        <f t="shared" si="11"/>
        <v>0</v>
      </c>
      <c r="O161" s="44"/>
      <c r="P161" s="4" t="str">
        <f t="shared" si="9"/>
        <v/>
      </c>
      <c r="Q161" s="11" t="str">
        <f t="shared" si="10"/>
        <v/>
      </c>
      <c r="R161" s="60"/>
    </row>
    <row r="162" spans="1:18" x14ac:dyDescent="0.25">
      <c r="A162" s="49"/>
      <c r="B162" s="50"/>
      <c r="C162" s="50"/>
      <c r="D162" s="8"/>
      <c r="E162" s="51"/>
      <c r="F162" s="52"/>
      <c r="G162" s="53"/>
      <c r="H162" s="54"/>
      <c r="I162" s="53"/>
      <c r="J162" s="47"/>
      <c r="K162" s="47"/>
      <c r="L162" s="59"/>
      <c r="M162" s="48"/>
      <c r="N162" s="6">
        <f t="shared" si="11"/>
        <v>0</v>
      </c>
      <c r="O162" s="44"/>
      <c r="P162" s="4" t="str">
        <f t="shared" si="9"/>
        <v/>
      </c>
      <c r="Q162" s="11" t="str">
        <f t="shared" si="10"/>
        <v/>
      </c>
      <c r="R162" s="60"/>
    </row>
    <row r="163" spans="1:18" x14ac:dyDescent="0.25">
      <c r="A163" s="49"/>
      <c r="B163" s="50"/>
      <c r="C163" s="50"/>
      <c r="D163" s="8"/>
      <c r="E163" s="51"/>
      <c r="F163" s="52"/>
      <c r="G163" s="53"/>
      <c r="H163" s="54"/>
      <c r="I163" s="53"/>
      <c r="J163" s="47"/>
      <c r="K163" s="47"/>
      <c r="L163" s="59"/>
      <c r="M163" s="48"/>
      <c r="N163" s="6">
        <f t="shared" si="11"/>
        <v>0</v>
      </c>
      <c r="O163" s="44"/>
      <c r="P163" s="4" t="str">
        <f t="shared" si="9"/>
        <v/>
      </c>
      <c r="Q163" s="11" t="str">
        <f t="shared" si="10"/>
        <v/>
      </c>
      <c r="R163" s="60"/>
    </row>
    <row r="164" spans="1:18" x14ac:dyDescent="0.25">
      <c r="A164" s="49"/>
      <c r="B164" s="50"/>
      <c r="C164" s="50"/>
      <c r="D164" s="8"/>
      <c r="E164" s="51"/>
      <c r="F164" s="52"/>
      <c r="G164" s="53"/>
      <c r="H164" s="54"/>
      <c r="I164" s="53"/>
      <c r="J164" s="47"/>
      <c r="K164" s="47"/>
      <c r="L164" s="59"/>
      <c r="M164" s="48"/>
      <c r="N164" s="6">
        <f t="shared" si="11"/>
        <v>0</v>
      </c>
      <c r="O164" s="44"/>
      <c r="P164" s="4" t="str">
        <f t="shared" si="9"/>
        <v/>
      </c>
      <c r="Q164" s="11" t="str">
        <f t="shared" si="10"/>
        <v/>
      </c>
      <c r="R164" s="60"/>
    </row>
    <row r="165" spans="1:18" x14ac:dyDescent="0.25">
      <c r="A165" s="49"/>
      <c r="B165" s="50"/>
      <c r="C165" s="50"/>
      <c r="D165" s="8"/>
      <c r="E165" s="51"/>
      <c r="F165" s="52"/>
      <c r="G165" s="53"/>
      <c r="H165" s="54"/>
      <c r="I165" s="53"/>
      <c r="J165" s="47"/>
      <c r="K165" s="47"/>
      <c r="L165" s="59"/>
      <c r="M165" s="48"/>
      <c r="N165" s="6">
        <f t="shared" si="11"/>
        <v>0</v>
      </c>
      <c r="O165" s="44"/>
      <c r="P165" s="4" t="str">
        <f t="shared" si="9"/>
        <v/>
      </c>
      <c r="Q165" s="11" t="str">
        <f t="shared" si="10"/>
        <v/>
      </c>
      <c r="R165" s="60"/>
    </row>
    <row r="166" spans="1:18" x14ac:dyDescent="0.25">
      <c r="A166" s="49"/>
      <c r="B166" s="50"/>
      <c r="C166" s="50"/>
      <c r="D166" s="8"/>
      <c r="E166" s="51"/>
      <c r="F166" s="52"/>
      <c r="G166" s="53"/>
      <c r="H166" s="54"/>
      <c r="I166" s="53"/>
      <c r="J166" s="47"/>
      <c r="K166" s="47"/>
      <c r="L166" s="59"/>
      <c r="M166" s="48"/>
      <c r="N166" s="6">
        <f t="shared" si="11"/>
        <v>0</v>
      </c>
      <c r="O166" s="44"/>
      <c r="P166" s="4" t="str">
        <f t="shared" si="9"/>
        <v/>
      </c>
      <c r="Q166" s="11" t="str">
        <f t="shared" si="10"/>
        <v/>
      </c>
      <c r="R166" s="60"/>
    </row>
    <row r="167" spans="1:18" x14ac:dyDescent="0.25">
      <c r="A167" s="49"/>
      <c r="B167" s="50"/>
      <c r="C167" s="50"/>
      <c r="D167" s="8"/>
      <c r="E167" s="51"/>
      <c r="F167" s="52"/>
      <c r="G167" s="53"/>
      <c r="H167" s="54"/>
      <c r="I167" s="53"/>
      <c r="J167" s="47"/>
      <c r="K167" s="47"/>
      <c r="L167" s="59"/>
      <c r="M167" s="48"/>
      <c r="N167" s="6">
        <f t="shared" si="11"/>
        <v>0</v>
      </c>
      <c r="O167" s="44"/>
      <c r="P167" s="4" t="str">
        <f t="shared" si="9"/>
        <v/>
      </c>
      <c r="Q167" s="11" t="str">
        <f t="shared" si="10"/>
        <v/>
      </c>
      <c r="R167" s="60"/>
    </row>
    <row r="168" spans="1:18" x14ac:dyDescent="0.25">
      <c r="A168" s="49"/>
      <c r="B168" s="50"/>
      <c r="C168" s="50"/>
      <c r="D168" s="8"/>
      <c r="E168" s="51"/>
      <c r="F168" s="52"/>
      <c r="G168" s="53"/>
      <c r="H168" s="54"/>
      <c r="I168" s="53"/>
      <c r="J168" s="47"/>
      <c r="K168" s="47"/>
      <c r="L168" s="59"/>
      <c r="M168" s="48"/>
      <c r="N168" s="6">
        <f t="shared" si="11"/>
        <v>0</v>
      </c>
      <c r="O168" s="44"/>
      <c r="P168" s="4" t="str">
        <f t="shared" si="9"/>
        <v/>
      </c>
      <c r="Q168" s="11" t="str">
        <f t="shared" si="10"/>
        <v/>
      </c>
      <c r="R168" s="60"/>
    </row>
    <row r="169" spans="1:18" x14ac:dyDescent="0.25">
      <c r="A169" s="49"/>
      <c r="B169" s="50"/>
      <c r="C169" s="50"/>
      <c r="D169" s="8"/>
      <c r="E169" s="51"/>
      <c r="F169" s="52"/>
      <c r="G169" s="53"/>
      <c r="H169" s="54"/>
      <c r="I169" s="53"/>
      <c r="J169" s="47"/>
      <c r="K169" s="47"/>
      <c r="L169" s="59"/>
      <c r="M169" s="48"/>
      <c r="N169" s="6">
        <f t="shared" si="11"/>
        <v>0</v>
      </c>
      <c r="O169" s="44"/>
      <c r="P169" s="4" t="str">
        <f t="shared" si="9"/>
        <v/>
      </c>
      <c r="Q169" s="11" t="str">
        <f t="shared" si="10"/>
        <v/>
      </c>
      <c r="R169" s="60"/>
    </row>
    <row r="170" spans="1:18" x14ac:dyDescent="0.25">
      <c r="A170" s="49"/>
      <c r="B170" s="50"/>
      <c r="C170" s="50"/>
      <c r="D170" s="8"/>
      <c r="E170" s="51"/>
      <c r="F170" s="52"/>
      <c r="G170" s="53"/>
      <c r="H170" s="54"/>
      <c r="I170" s="53"/>
      <c r="J170" s="47"/>
      <c r="K170" s="47"/>
      <c r="L170" s="59"/>
      <c r="M170" s="48"/>
      <c r="N170" s="6">
        <f t="shared" si="11"/>
        <v>0</v>
      </c>
      <c r="O170" s="44"/>
      <c r="P170" s="4" t="str">
        <f t="shared" si="9"/>
        <v/>
      </c>
      <c r="Q170" s="11" t="str">
        <f t="shared" si="10"/>
        <v/>
      </c>
      <c r="R170" s="60"/>
    </row>
    <row r="171" spans="1:18" x14ac:dyDescent="0.25">
      <c r="A171" s="49"/>
      <c r="B171" s="50"/>
      <c r="C171" s="50"/>
      <c r="D171" s="8"/>
      <c r="E171" s="51"/>
      <c r="F171" s="52"/>
      <c r="G171" s="53"/>
      <c r="H171" s="54"/>
      <c r="I171" s="53"/>
      <c r="J171" s="47"/>
      <c r="K171" s="47"/>
      <c r="L171" s="59"/>
      <c r="M171" s="48"/>
      <c r="N171" s="6">
        <f t="shared" si="11"/>
        <v>0</v>
      </c>
      <c r="O171" s="44"/>
      <c r="P171" s="4" t="str">
        <f t="shared" si="9"/>
        <v/>
      </c>
      <c r="Q171" s="11" t="str">
        <f t="shared" si="10"/>
        <v/>
      </c>
      <c r="R171" s="60"/>
    </row>
    <row r="172" spans="1:18" x14ac:dyDescent="0.25">
      <c r="A172" s="49"/>
      <c r="B172" s="50"/>
      <c r="C172" s="50"/>
      <c r="D172" s="8"/>
      <c r="E172" s="51"/>
      <c r="F172" s="52"/>
      <c r="G172" s="53"/>
      <c r="H172" s="54"/>
      <c r="I172" s="53"/>
      <c r="J172" s="47"/>
      <c r="K172" s="47"/>
      <c r="L172" s="59"/>
      <c r="M172" s="48"/>
      <c r="N172" s="6">
        <f t="shared" si="11"/>
        <v>0</v>
      </c>
      <c r="O172" s="44"/>
      <c r="P172" s="4" t="str">
        <f t="shared" si="9"/>
        <v/>
      </c>
      <c r="Q172" s="11" t="str">
        <f t="shared" si="10"/>
        <v/>
      </c>
      <c r="R172" s="60"/>
    </row>
    <row r="173" spans="1:18" x14ac:dyDescent="0.25">
      <c r="A173" s="49"/>
      <c r="B173" s="50"/>
      <c r="C173" s="50"/>
      <c r="D173" s="8"/>
      <c r="E173" s="51"/>
      <c r="F173" s="52"/>
      <c r="G173" s="53"/>
      <c r="H173" s="54"/>
      <c r="I173" s="53"/>
      <c r="J173" s="47"/>
      <c r="K173" s="47"/>
      <c r="L173" s="59"/>
      <c r="M173" s="48"/>
      <c r="N173" s="6">
        <f t="shared" si="11"/>
        <v>0</v>
      </c>
      <c r="O173" s="44"/>
      <c r="P173" s="4" t="str">
        <f t="shared" si="9"/>
        <v/>
      </c>
      <c r="Q173" s="11" t="str">
        <f t="shared" si="10"/>
        <v/>
      </c>
      <c r="R173" s="60"/>
    </row>
    <row r="174" spans="1:18" x14ac:dyDescent="0.25">
      <c r="A174" s="49"/>
      <c r="B174" s="50"/>
      <c r="C174" s="50"/>
      <c r="D174" s="8"/>
      <c r="E174" s="51"/>
      <c r="F174" s="52"/>
      <c r="G174" s="53"/>
      <c r="H174" s="54"/>
      <c r="I174" s="53"/>
      <c r="J174" s="47"/>
      <c r="K174" s="47"/>
      <c r="L174" s="59"/>
      <c r="M174" s="48"/>
      <c r="N174" s="6">
        <f t="shared" si="11"/>
        <v>0</v>
      </c>
      <c r="O174" s="44"/>
      <c r="P174" s="4" t="str">
        <f t="shared" si="9"/>
        <v/>
      </c>
      <c r="Q174" s="11" t="str">
        <f t="shared" si="10"/>
        <v/>
      </c>
      <c r="R174" s="60"/>
    </row>
    <row r="175" spans="1:18" x14ac:dyDescent="0.25">
      <c r="A175" s="49"/>
      <c r="B175" s="50"/>
      <c r="C175" s="50"/>
      <c r="D175" s="8"/>
      <c r="E175" s="51"/>
      <c r="F175" s="52"/>
      <c r="G175" s="53"/>
      <c r="H175" s="54"/>
      <c r="I175" s="53"/>
      <c r="J175" s="47"/>
      <c r="K175" s="47"/>
      <c r="L175" s="59"/>
      <c r="M175" s="48"/>
      <c r="N175" s="6">
        <f t="shared" si="11"/>
        <v>0</v>
      </c>
      <c r="O175" s="44"/>
      <c r="P175" s="4" t="str">
        <f t="shared" si="9"/>
        <v/>
      </c>
      <c r="Q175" s="11" t="str">
        <f t="shared" si="10"/>
        <v/>
      </c>
      <c r="R175" s="60"/>
    </row>
    <row r="176" spans="1:18" x14ac:dyDescent="0.25">
      <c r="A176" s="49"/>
      <c r="B176" s="50"/>
      <c r="C176" s="50"/>
      <c r="D176" s="8"/>
      <c r="E176" s="51"/>
      <c r="F176" s="52"/>
      <c r="G176" s="53"/>
      <c r="H176" s="54"/>
      <c r="I176" s="53"/>
      <c r="J176" s="47"/>
      <c r="K176" s="47"/>
      <c r="L176" s="59"/>
      <c r="M176" s="48"/>
      <c r="N176" s="6">
        <f t="shared" si="11"/>
        <v>0</v>
      </c>
      <c r="O176" s="44"/>
      <c r="P176" s="4" t="str">
        <f t="shared" ref="P176:P204" si="12">IF(B178="","","Bonjour "&amp;A178&amp;", je suis Yannick de la revue RARID Journal. Je reviens vers vous concernant votre article. Nous avons noté votre intérêt pour notre revue. Êtes-vous toujours intéressé(e) par sa publication ? Vous pouvez la finaliser via : http://www.rarid-journal.com/")</f>
        <v/>
      </c>
      <c r="Q176" s="11" t="str">
        <f t="shared" si="10"/>
        <v/>
      </c>
      <c r="R176" s="60"/>
    </row>
    <row r="177" spans="1:18" x14ac:dyDescent="0.25">
      <c r="A177" s="49"/>
      <c r="B177" s="50"/>
      <c r="C177" s="50"/>
      <c r="D177" s="8"/>
      <c r="E177" s="51"/>
      <c r="F177" s="52"/>
      <c r="G177" s="53"/>
      <c r="H177" s="54"/>
      <c r="I177" s="53"/>
      <c r="J177" s="47"/>
      <c r="K177" s="47"/>
      <c r="L177" s="59"/>
      <c r="M177" s="48"/>
      <c r="N177" s="6">
        <f t="shared" si="11"/>
        <v>0</v>
      </c>
      <c r="O177" s="44"/>
      <c r="P177" s="4" t="str">
        <f t="shared" si="12"/>
        <v/>
      </c>
      <c r="Q177" s="11" t="str">
        <f t="shared" si="10"/>
        <v/>
      </c>
      <c r="R177" s="60"/>
    </row>
    <row r="178" spans="1:18" x14ac:dyDescent="0.25">
      <c r="A178" s="49"/>
      <c r="B178" s="50"/>
      <c r="C178" s="50"/>
      <c r="D178" s="8"/>
      <c r="E178" s="51"/>
      <c r="F178" s="52"/>
      <c r="G178" s="53"/>
      <c r="H178" s="54"/>
      <c r="I178" s="53"/>
      <c r="J178" s="47"/>
      <c r="K178" s="47"/>
      <c r="L178" s="59"/>
      <c r="M178" s="48"/>
      <c r="N178" s="6">
        <f t="shared" si="11"/>
        <v>0</v>
      </c>
      <c r="O178" s="44"/>
      <c r="P178" s="4" t="str">
        <f t="shared" si="12"/>
        <v/>
      </c>
      <c r="Q178" s="11" t="str">
        <f t="shared" si="10"/>
        <v/>
      </c>
      <c r="R178" s="60"/>
    </row>
    <row r="179" spans="1:18" x14ac:dyDescent="0.25">
      <c r="A179" s="49"/>
      <c r="B179" s="50"/>
      <c r="C179" s="50"/>
      <c r="D179" s="8"/>
      <c r="E179" s="51"/>
      <c r="F179" s="52"/>
      <c r="G179" s="53"/>
      <c r="H179" s="54"/>
      <c r="I179" s="53"/>
      <c r="J179" s="47"/>
      <c r="K179" s="47"/>
      <c r="L179" s="59"/>
      <c r="M179" s="48"/>
      <c r="N179" s="6">
        <f t="shared" si="11"/>
        <v>0</v>
      </c>
      <c r="O179" s="44"/>
      <c r="P179" s="4" t="str">
        <f t="shared" si="12"/>
        <v/>
      </c>
      <c r="Q179" s="11" t="str">
        <f t="shared" si="10"/>
        <v/>
      </c>
      <c r="R179" s="60"/>
    </row>
    <row r="180" spans="1:18" x14ac:dyDescent="0.25">
      <c r="A180" s="49"/>
      <c r="B180" s="50"/>
      <c r="C180" s="50"/>
      <c r="D180" s="8"/>
      <c r="E180" s="51"/>
      <c r="F180" s="52"/>
      <c r="G180" s="53"/>
      <c r="H180" s="54"/>
      <c r="I180" s="53"/>
      <c r="J180" s="47"/>
      <c r="K180" s="47"/>
      <c r="L180" s="59"/>
      <c r="M180" s="48"/>
      <c r="N180" s="6">
        <f t="shared" si="11"/>
        <v>0</v>
      </c>
      <c r="O180" s="44"/>
      <c r="P180" s="4" t="str">
        <f t="shared" si="12"/>
        <v/>
      </c>
      <c r="Q180" s="11" t="str">
        <f t="shared" si="10"/>
        <v/>
      </c>
      <c r="R180" s="60"/>
    </row>
    <row r="181" spans="1:18" x14ac:dyDescent="0.25">
      <c r="A181" s="49"/>
      <c r="B181" s="50"/>
      <c r="C181" s="50"/>
      <c r="D181" s="8"/>
      <c r="E181" s="51"/>
      <c r="F181" s="52"/>
      <c r="G181" s="53"/>
      <c r="H181" s="54"/>
      <c r="I181" s="53"/>
      <c r="J181" s="47"/>
      <c r="K181" s="47"/>
      <c r="L181" s="59"/>
      <c r="M181" s="48"/>
      <c r="N181" s="6">
        <f t="shared" si="11"/>
        <v>0</v>
      </c>
      <c r="O181" s="44"/>
      <c r="P181" s="4" t="str">
        <f t="shared" si="12"/>
        <v/>
      </c>
      <c r="Q181" s="11" t="str">
        <f t="shared" si="10"/>
        <v/>
      </c>
      <c r="R181" s="60"/>
    </row>
    <row r="182" spans="1:18" x14ac:dyDescent="0.25">
      <c r="A182" s="49"/>
      <c r="B182" s="50"/>
      <c r="C182" s="50"/>
      <c r="D182" s="8"/>
      <c r="E182" s="51"/>
      <c r="F182" s="52"/>
      <c r="G182" s="53"/>
      <c r="H182" s="54"/>
      <c r="I182" s="53"/>
      <c r="J182" s="47"/>
      <c r="K182" s="47"/>
      <c r="L182" s="59"/>
      <c r="M182" s="48"/>
      <c r="N182" s="6">
        <f t="shared" si="11"/>
        <v>0</v>
      </c>
      <c r="O182" s="44"/>
      <c r="P182" s="4" t="str">
        <f t="shared" si="12"/>
        <v/>
      </c>
      <c r="Q182" s="11" t="str">
        <f t="shared" si="10"/>
        <v/>
      </c>
      <c r="R182" s="60"/>
    </row>
    <row r="183" spans="1:18" x14ac:dyDescent="0.25">
      <c r="A183" s="49"/>
      <c r="B183" s="50"/>
      <c r="C183" s="50"/>
      <c r="D183" s="8"/>
      <c r="E183" s="51"/>
      <c r="F183" s="52"/>
      <c r="G183" s="53"/>
      <c r="H183" s="54"/>
      <c r="I183" s="53"/>
      <c r="J183" s="47"/>
      <c r="K183" s="47"/>
      <c r="L183" s="59"/>
      <c r="M183" s="48"/>
      <c r="N183" s="6">
        <f t="shared" si="11"/>
        <v>0</v>
      </c>
      <c r="O183" s="44"/>
      <c r="P183" s="4" t="str">
        <f t="shared" si="12"/>
        <v/>
      </c>
      <c r="Q183" s="11" t="str">
        <f t="shared" si="10"/>
        <v/>
      </c>
      <c r="R183" s="60"/>
    </row>
    <row r="184" spans="1:18" x14ac:dyDescent="0.25">
      <c r="A184" s="49"/>
      <c r="B184" s="50"/>
      <c r="C184" s="50"/>
      <c r="D184" s="8"/>
      <c r="E184" s="51"/>
      <c r="F184" s="52"/>
      <c r="G184" s="53"/>
      <c r="H184" s="54"/>
      <c r="I184" s="53"/>
      <c r="J184" s="47"/>
      <c r="K184" s="47"/>
      <c r="L184" s="59"/>
      <c r="M184" s="48"/>
      <c r="N184" s="6">
        <f t="shared" si="11"/>
        <v>0</v>
      </c>
      <c r="O184" s="44"/>
      <c r="P184" s="4" t="str">
        <f t="shared" si="12"/>
        <v/>
      </c>
      <c r="Q184" s="11" t="str">
        <f t="shared" si="10"/>
        <v/>
      </c>
      <c r="R184" s="60"/>
    </row>
    <row r="185" spans="1:18" x14ac:dyDescent="0.25">
      <c r="A185" s="49"/>
      <c r="B185" s="50"/>
      <c r="C185" s="50"/>
      <c r="D185" s="8"/>
      <c r="E185" s="51"/>
      <c r="F185" s="52"/>
      <c r="G185" s="53"/>
      <c r="H185" s="54"/>
      <c r="I185" s="53"/>
      <c r="J185" s="47"/>
      <c r="K185" s="47"/>
      <c r="L185" s="59"/>
      <c r="M185" s="48"/>
      <c r="N185" s="6">
        <f t="shared" si="11"/>
        <v>0</v>
      </c>
      <c r="O185" s="44"/>
      <c r="P185" s="4" t="str">
        <f t="shared" si="12"/>
        <v/>
      </c>
      <c r="Q185" s="11" t="str">
        <f t="shared" si="10"/>
        <v/>
      </c>
      <c r="R185" s="60"/>
    </row>
    <row r="186" spans="1:18" x14ac:dyDescent="0.25">
      <c r="A186" s="49"/>
      <c r="B186" s="50"/>
      <c r="C186" s="50"/>
      <c r="D186" s="8"/>
      <c r="E186" s="51"/>
      <c r="F186" s="52"/>
      <c r="G186" s="53"/>
      <c r="H186" s="54"/>
      <c r="I186" s="53"/>
      <c r="J186" s="47"/>
      <c r="K186" s="47"/>
      <c r="L186" s="59"/>
      <c r="M186" s="48"/>
      <c r="N186" s="6">
        <f t="shared" si="11"/>
        <v>0</v>
      </c>
      <c r="O186" s="44"/>
      <c r="P186" s="4" t="str">
        <f t="shared" si="12"/>
        <v/>
      </c>
      <c r="Q186" s="11" t="str">
        <f t="shared" si="10"/>
        <v/>
      </c>
      <c r="R186" s="60"/>
    </row>
    <row r="187" spans="1:18" x14ac:dyDescent="0.25">
      <c r="A187" s="49"/>
      <c r="B187" s="50"/>
      <c r="C187" s="50"/>
      <c r="D187" s="8"/>
      <c r="E187" s="51"/>
      <c r="F187" s="52"/>
      <c r="G187" s="53"/>
      <c r="H187" s="54"/>
      <c r="I187" s="53"/>
      <c r="J187" s="47"/>
      <c r="K187" s="47"/>
      <c r="L187" s="59"/>
      <c r="M187" s="48"/>
      <c r="N187" s="6">
        <f t="shared" si="11"/>
        <v>0</v>
      </c>
      <c r="O187" s="44"/>
      <c r="P187" s="4" t="str">
        <f t="shared" si="12"/>
        <v/>
      </c>
      <c r="Q187" s="11" t="str">
        <f t="shared" si="10"/>
        <v/>
      </c>
      <c r="R187" s="60"/>
    </row>
    <row r="188" spans="1:18" x14ac:dyDescent="0.25">
      <c r="A188" s="49"/>
      <c r="B188" s="50"/>
      <c r="C188" s="50"/>
      <c r="D188" s="8"/>
      <c r="E188" s="51"/>
      <c r="F188" s="52"/>
      <c r="G188" s="53"/>
      <c r="H188" s="54"/>
      <c r="I188" s="53"/>
      <c r="J188" s="47"/>
      <c r="K188" s="47"/>
      <c r="L188" s="59"/>
      <c r="M188" s="48"/>
      <c r="N188" s="6">
        <f t="shared" si="11"/>
        <v>0</v>
      </c>
      <c r="O188" s="44"/>
      <c r="P188" s="4" t="str">
        <f t="shared" si="12"/>
        <v/>
      </c>
      <c r="Q188" s="11" t="str">
        <f t="shared" si="10"/>
        <v/>
      </c>
      <c r="R188" s="60"/>
    </row>
    <row r="189" spans="1:18" x14ac:dyDescent="0.25">
      <c r="A189" s="49"/>
      <c r="B189" s="50"/>
      <c r="C189" s="50"/>
      <c r="D189" s="8"/>
      <c r="E189" s="51"/>
      <c r="F189" s="52"/>
      <c r="G189" s="53"/>
      <c r="H189" s="54"/>
      <c r="I189" s="53"/>
      <c r="J189" s="47"/>
      <c r="K189" s="47"/>
      <c r="L189" s="59"/>
      <c r="M189" s="48"/>
      <c r="N189" s="6">
        <f t="shared" si="11"/>
        <v>0</v>
      </c>
      <c r="O189" s="44"/>
      <c r="P189" s="4" t="str">
        <f t="shared" si="12"/>
        <v/>
      </c>
      <c r="Q189" s="11" t="str">
        <f t="shared" si="10"/>
        <v/>
      </c>
      <c r="R189" s="60"/>
    </row>
    <row r="190" spans="1:18" x14ac:dyDescent="0.25">
      <c r="A190" s="49"/>
      <c r="B190" s="50"/>
      <c r="C190" s="50"/>
      <c r="D190" s="8"/>
      <c r="E190" s="51"/>
      <c r="F190" s="52"/>
      <c r="G190" s="53"/>
      <c r="H190" s="54"/>
      <c r="I190" s="53"/>
      <c r="J190" s="47"/>
      <c r="K190" s="47"/>
      <c r="L190" s="59"/>
      <c r="M190" s="48"/>
      <c r="N190" s="6">
        <f t="shared" si="11"/>
        <v>0</v>
      </c>
      <c r="O190" s="44"/>
      <c r="P190" s="4" t="str">
        <f t="shared" si="12"/>
        <v/>
      </c>
      <c r="Q190" s="11" t="str">
        <f t="shared" si="10"/>
        <v/>
      </c>
      <c r="R190" s="60"/>
    </row>
    <row r="191" spans="1:18" x14ac:dyDescent="0.25">
      <c r="A191" s="49"/>
      <c r="B191" s="50"/>
      <c r="C191" s="50"/>
      <c r="D191" s="8"/>
      <c r="E191" s="51"/>
      <c r="F191" s="52"/>
      <c r="G191" s="53"/>
      <c r="H191" s="54"/>
      <c r="I191" s="53"/>
      <c r="J191" s="47"/>
      <c r="K191" s="47"/>
      <c r="L191" s="59"/>
      <c r="M191" s="48"/>
      <c r="N191" s="6">
        <f t="shared" si="11"/>
        <v>0</v>
      </c>
      <c r="O191" s="44"/>
      <c r="P191" s="4" t="str">
        <f t="shared" si="12"/>
        <v/>
      </c>
      <c r="Q191" s="11" t="str">
        <f t="shared" si="10"/>
        <v/>
      </c>
      <c r="R191" s="60"/>
    </row>
    <row r="192" spans="1:18" x14ac:dyDescent="0.25">
      <c r="A192" s="49"/>
      <c r="B192" s="50"/>
      <c r="C192" s="50"/>
      <c r="D192" s="8"/>
      <c r="E192" s="51"/>
      <c r="F192" s="52"/>
      <c r="G192" s="53"/>
      <c r="H192" s="54"/>
      <c r="I192" s="53"/>
      <c r="J192" s="47"/>
      <c r="K192" s="47"/>
      <c r="L192" s="59"/>
      <c r="M192" s="48"/>
      <c r="N192" s="6">
        <f t="shared" si="11"/>
        <v>0</v>
      </c>
      <c r="O192" s="44"/>
      <c r="P192" s="4" t="str">
        <f t="shared" si="12"/>
        <v/>
      </c>
      <c r="Q192" s="11" t="str">
        <f t="shared" si="10"/>
        <v/>
      </c>
      <c r="R192" s="60"/>
    </row>
    <row r="193" spans="1:18" x14ac:dyDescent="0.25">
      <c r="A193" s="49"/>
      <c r="B193" s="50"/>
      <c r="C193" s="50"/>
      <c r="D193" s="8"/>
      <c r="E193" s="51"/>
      <c r="F193" s="52"/>
      <c r="G193" s="53"/>
      <c r="H193" s="54"/>
      <c r="I193" s="53"/>
      <c r="J193" s="47"/>
      <c r="K193" s="47"/>
      <c r="L193" s="59"/>
      <c r="M193" s="48"/>
      <c r="N193" s="6">
        <f t="shared" si="11"/>
        <v>0</v>
      </c>
      <c r="O193" s="44"/>
      <c r="P193" s="4" t="str">
        <f t="shared" si="12"/>
        <v/>
      </c>
      <c r="Q193" s="11" t="str">
        <f t="shared" si="10"/>
        <v/>
      </c>
      <c r="R193" s="60"/>
    </row>
    <row r="194" spans="1:18" x14ac:dyDescent="0.25">
      <c r="A194" s="49"/>
      <c r="B194" s="50"/>
      <c r="C194" s="50"/>
      <c r="D194" s="8"/>
      <c r="E194" s="51"/>
      <c r="F194" s="52"/>
      <c r="G194" s="53"/>
      <c r="H194" s="54"/>
      <c r="I194" s="53"/>
      <c r="J194" s="47"/>
      <c r="K194" s="47"/>
      <c r="L194" s="59"/>
      <c r="M194" s="48"/>
      <c r="N194" s="6">
        <f t="shared" si="11"/>
        <v>0</v>
      </c>
      <c r="O194" s="44"/>
      <c r="P194" s="4" t="str">
        <f t="shared" si="12"/>
        <v/>
      </c>
      <c r="Q194" s="11" t="str">
        <f t="shared" si="10"/>
        <v/>
      </c>
      <c r="R194" s="60"/>
    </row>
    <row r="195" spans="1:18" x14ac:dyDescent="0.25">
      <c r="A195" s="49"/>
      <c r="B195" s="50"/>
      <c r="C195" s="50"/>
      <c r="D195" s="8"/>
      <c r="E195" s="51"/>
      <c r="F195" s="52"/>
      <c r="G195" s="53"/>
      <c r="H195" s="54"/>
      <c r="I195" s="53"/>
      <c r="J195" s="47"/>
      <c r="K195" s="47"/>
      <c r="L195" s="59"/>
      <c r="M195" s="48"/>
      <c r="N195" s="6">
        <f t="shared" si="11"/>
        <v>0</v>
      </c>
      <c r="O195" s="44"/>
      <c r="P195" s="4" t="str">
        <f t="shared" si="12"/>
        <v/>
      </c>
      <c r="Q195" s="11" t="str">
        <f t="shared" si="10"/>
        <v/>
      </c>
      <c r="R195" s="60"/>
    </row>
    <row r="196" spans="1:18" x14ac:dyDescent="0.25">
      <c r="A196" s="49"/>
      <c r="B196" s="50"/>
      <c r="C196" s="50"/>
      <c r="D196" s="8"/>
      <c r="E196" s="51"/>
      <c r="F196" s="52"/>
      <c r="G196" s="53"/>
      <c r="H196" s="54"/>
      <c r="I196" s="53"/>
      <c r="J196" s="47"/>
      <c r="K196" s="47"/>
      <c r="L196" s="59"/>
      <c r="M196" s="48"/>
      <c r="N196" s="6">
        <f t="shared" si="11"/>
        <v>0</v>
      </c>
      <c r="O196" s="44"/>
      <c r="P196" s="4" t="str">
        <f t="shared" si="12"/>
        <v/>
      </c>
      <c r="Q196" s="11" t="str">
        <f t="shared" si="10"/>
        <v/>
      </c>
      <c r="R196" s="60"/>
    </row>
    <row r="197" spans="1:18" x14ac:dyDescent="0.25">
      <c r="A197" s="49"/>
      <c r="B197" s="50"/>
      <c r="C197" s="50"/>
      <c r="D197" s="8"/>
      <c r="E197" s="51"/>
      <c r="F197" s="52"/>
      <c r="G197" s="53"/>
      <c r="H197" s="54"/>
      <c r="I197" s="53"/>
      <c r="J197" s="47"/>
      <c r="K197" s="47"/>
      <c r="L197" s="59"/>
      <c r="M197" s="48"/>
      <c r="N197" s="6">
        <f t="shared" si="11"/>
        <v>0</v>
      </c>
      <c r="O197" s="44"/>
      <c r="P197" s="4" t="str">
        <f t="shared" si="12"/>
        <v/>
      </c>
      <c r="Q197" s="11" t="str">
        <f t="shared" si="10"/>
        <v/>
      </c>
      <c r="R197" s="60"/>
    </row>
    <row r="198" spans="1:18" x14ac:dyDescent="0.25">
      <c r="A198" s="49"/>
      <c r="B198" s="50"/>
      <c r="C198" s="50"/>
      <c r="D198" s="8"/>
      <c r="E198" s="51"/>
      <c r="F198" s="52"/>
      <c r="G198" s="53"/>
      <c r="H198" s="54"/>
      <c r="I198" s="53"/>
      <c r="J198" s="47"/>
      <c r="K198" s="47"/>
      <c r="L198" s="59"/>
      <c r="M198" s="48"/>
      <c r="N198" s="6">
        <f t="shared" si="11"/>
        <v>0</v>
      </c>
      <c r="O198" s="44"/>
      <c r="P198" s="4" t="str">
        <f t="shared" si="12"/>
        <v/>
      </c>
      <c r="Q198" s="11" t="str">
        <f t="shared" si="10"/>
        <v/>
      </c>
      <c r="R198" s="60"/>
    </row>
    <row r="199" spans="1:18" x14ac:dyDescent="0.25">
      <c r="A199" s="49"/>
      <c r="B199" s="50"/>
      <c r="C199" s="50"/>
      <c r="D199" s="8"/>
      <c r="E199" s="51"/>
      <c r="F199" s="52"/>
      <c r="G199" s="53"/>
      <c r="H199" s="54"/>
      <c r="I199" s="53"/>
      <c r="J199" s="47"/>
      <c r="K199" s="47"/>
      <c r="L199" s="59"/>
      <c r="M199" s="48"/>
      <c r="N199" s="6">
        <f t="shared" si="11"/>
        <v>0</v>
      </c>
      <c r="O199" s="44"/>
      <c r="P199" s="4" t="str">
        <f t="shared" si="12"/>
        <v/>
      </c>
      <c r="Q199" s="11" t="str">
        <f t="shared" si="10"/>
        <v/>
      </c>
      <c r="R199" s="60"/>
    </row>
    <row r="200" spans="1:18" x14ac:dyDescent="0.25">
      <c r="A200" s="49"/>
      <c r="B200" s="50"/>
      <c r="C200" s="50"/>
      <c r="D200" s="8"/>
      <c r="E200" s="51"/>
      <c r="F200" s="52"/>
      <c r="G200" s="53"/>
      <c r="H200" s="54"/>
      <c r="I200" s="53"/>
      <c r="J200" s="47"/>
      <c r="K200" s="47"/>
      <c r="L200" s="59"/>
      <c r="M200" s="48"/>
      <c r="N200" s="6">
        <f t="shared" si="11"/>
        <v>0</v>
      </c>
      <c r="O200" s="44"/>
      <c r="P200" s="4" t="str">
        <f t="shared" si="12"/>
        <v/>
      </c>
      <c r="Q200" s="11" t="str">
        <f t="shared" ref="Q200:Q204" si="13">IF(B200="","","https://wa.me/"&amp;SUBSTITUTE(SUBSTITUTE(SUBSTITUTE(B200,"+","")," ",""),"-","")&amp;"?text="&amp;SUBSTITUTE(P200," ","%20"))</f>
        <v/>
      </c>
      <c r="R200" s="60"/>
    </row>
    <row r="201" spans="1:18" x14ac:dyDescent="0.25">
      <c r="A201" s="49"/>
      <c r="B201" s="50"/>
      <c r="C201" s="50"/>
      <c r="D201" s="8"/>
      <c r="E201" s="51"/>
      <c r="F201" s="52"/>
      <c r="G201" s="53"/>
      <c r="H201" s="54"/>
      <c r="I201" s="53"/>
      <c r="J201" s="47"/>
      <c r="K201" s="47"/>
      <c r="L201" s="59"/>
      <c r="M201" s="48"/>
      <c r="N201" s="6">
        <f t="shared" si="11"/>
        <v>0</v>
      </c>
      <c r="O201" s="44"/>
      <c r="P201" s="4" t="str">
        <f t="shared" si="12"/>
        <v/>
      </c>
      <c r="Q201" s="11" t="str">
        <f t="shared" si="13"/>
        <v/>
      </c>
      <c r="R201" s="60"/>
    </row>
    <row r="202" spans="1:18" x14ac:dyDescent="0.25">
      <c r="A202" s="49"/>
      <c r="B202" s="50"/>
      <c r="C202" s="50"/>
      <c r="D202" s="8"/>
      <c r="E202" s="51"/>
      <c r="F202" s="52"/>
      <c r="G202" s="53"/>
      <c r="H202" s="54"/>
      <c r="I202" s="53"/>
      <c r="J202" s="47"/>
      <c r="K202" s="47"/>
      <c r="L202" s="59"/>
      <c r="M202" s="48"/>
      <c r="N202" s="6">
        <f t="shared" si="11"/>
        <v>0</v>
      </c>
      <c r="O202" s="44"/>
      <c r="P202" s="4" t="str">
        <f t="shared" si="12"/>
        <v/>
      </c>
      <c r="Q202" s="11" t="str">
        <f t="shared" si="13"/>
        <v/>
      </c>
      <c r="R202" s="60"/>
    </row>
    <row r="203" spans="1:18" x14ac:dyDescent="0.25">
      <c r="A203" s="49"/>
      <c r="B203" s="50"/>
      <c r="C203" s="50"/>
      <c r="D203" s="8"/>
      <c r="E203" s="51"/>
      <c r="F203" s="52"/>
      <c r="G203" s="53"/>
      <c r="H203" s="54"/>
      <c r="I203" s="53"/>
      <c r="J203" s="47"/>
      <c r="K203" s="47"/>
      <c r="L203" s="59"/>
      <c r="M203" s="48"/>
      <c r="N203" s="6">
        <f t="shared" si="11"/>
        <v>0</v>
      </c>
      <c r="O203" s="44"/>
      <c r="P203" s="4" t="str">
        <f t="shared" si="12"/>
        <v/>
      </c>
      <c r="Q203" s="11" t="str">
        <f t="shared" si="13"/>
        <v/>
      </c>
      <c r="R203" s="60"/>
    </row>
    <row r="204" spans="1:18" x14ac:dyDescent="0.25">
      <c r="A204" s="49"/>
      <c r="B204" s="50"/>
      <c r="C204" s="50"/>
      <c r="D204" s="8"/>
      <c r="E204" s="51"/>
      <c r="F204" s="52"/>
      <c r="G204" s="53"/>
      <c r="H204" s="54"/>
      <c r="I204" s="53"/>
      <c r="J204" s="47"/>
      <c r="K204" s="47"/>
      <c r="L204" s="59"/>
      <c r="M204" s="48"/>
      <c r="N204" s="6">
        <f t="shared" si="11"/>
        <v>0</v>
      </c>
      <c r="O204" s="44"/>
      <c r="P204" s="4" t="str">
        <f t="shared" si="12"/>
        <v/>
      </c>
      <c r="Q204" s="11" t="str">
        <f t="shared" si="13"/>
        <v/>
      </c>
      <c r="R204" s="61"/>
    </row>
  </sheetData>
  <mergeCells count="12">
    <mergeCell ref="A5:B5"/>
    <mergeCell ref="H5:I5"/>
    <mergeCell ref="K5:L5"/>
    <mergeCell ref="M5:N5"/>
    <mergeCell ref="O5:S5"/>
    <mergeCell ref="A1:S1"/>
    <mergeCell ref="A2:S2"/>
    <mergeCell ref="A4:B4"/>
    <mergeCell ref="H4:I4"/>
    <mergeCell ref="K4:L4"/>
    <mergeCell ref="M4:N4"/>
    <mergeCell ref="O4:S4"/>
  </mergeCells>
  <phoneticPr fontId="10" type="noConversion"/>
  <conditionalFormatting sqref="D8:D204">
    <cfRule type="containsText" dxfId="98" priority="2" operator="containsText" text="Relance à J-7">
      <formula>NOT(ISERROR(SEARCH("Relance à J-7",D8)))</formula>
    </cfRule>
    <cfRule type="containsText" dxfId="97" priority="5" operator="containsText" text="Urgent (J-0)">
      <formula>NOT(ISERROR(SEARCH("Urgent (J-0)",D8)))</formula>
    </cfRule>
    <cfRule type="containsText" dxfId="96" priority="6" operator="containsText" text="Déjà relancé">
      <formula>NOT(ISERROR(SEARCH("Déjà relancé",D8)))</formula>
    </cfRule>
  </conditionalFormatting>
  <conditionalFormatting sqref="D7:D204">
    <cfRule type="containsText" dxfId="95" priority="1" operator="containsText" text="Relance à &gt;7jours">
      <formula>NOT(ISERROR(SEARCH("Relance à &gt;7jours",D7)))</formula>
    </cfRule>
    <cfRule type="containsText" dxfId="94" priority="4" operator="containsText" text="Déjà relancé">
      <formula>NOT(ISERROR(SEARCH("Déjà relancé",D7)))</formula>
    </cfRule>
  </conditionalFormatting>
  <conditionalFormatting sqref="D8:D47">
    <cfRule type="containsText" dxfId="93" priority="3" operator="containsText" text="relance à J-7">
      <formula>NOT(ISERROR(SEARCH("relance à J-7",D8)))</formula>
    </cfRule>
  </conditionalFormatting>
  <dataValidations count="6">
    <dataValidation type="whole" operator="greaterThanOrEqual" allowBlank="1" showInputMessage="1" showErrorMessage="1" errorTitle="Nombre invalide" error="Vous ne pouvez pas entrer un nombre négatif!" sqref="E8:E204" xr:uid="{2549C30E-2B3F-43B2-9A29-2AFD41748A18}">
      <formula1>0</formula1>
    </dataValidation>
    <dataValidation type="date" operator="lessThanOrEqual" allowBlank="1" showInputMessage="1" showErrorMessage="1" errorTitle="Date Invalide" error="Vous ne pouvez pas entrer une date future pour une relance déjà effectuée." sqref="F8:F204" xr:uid="{770EFC67-A311-42DF-88C0-0E36FAAC6A35}">
      <formula1>TODAY()</formula1>
    </dataValidation>
    <dataValidation type="custom" allowBlank="1" showInputMessage="1" showErrorMessage="1" error="Veuillez saisir un montant multiple de 5000 FCFA" sqref="M8:M204" xr:uid="{EBA5F984-0D72-4E49-BEDE-1C6C2AB47AD1}">
      <formula1>MOD(M8,5000)=0</formula1>
    </dataValidation>
    <dataValidation type="list" allowBlank="1" sqref="I8" xr:uid="{FBB205EA-8775-4A0D-8808-093B33850B20}">
      <formula1>"0% - Non débuté, 25% - En rédaction, 50% - Relecture / Évaluation, 75% - En révision / Corrections, 100% - Publié / Validé"</formula1>
    </dataValidation>
    <dataValidation type="list" allowBlank="1" sqref="K205:K227 I9:I204" xr:uid="{5D64FDE3-5FAD-4DBD-B5C6-6E25FF74068A}">
      <formula1>"0% - Non débuté, 25% - En rédaction, 50% - Relecture, 75% - En révision, 100% - Terminé"</formula1>
    </dataValidation>
    <dataValidation type="list" allowBlank="1" sqref="Q205:Q227 O8:O204" xr:uid="{054272C7-3F16-4CBE-8603-B3A3EBEE0563}">
      <formula1>"Oui, Non, En cours"</formula1>
    </dataValidation>
  </dataValidations>
  <pageMargins left="0.75" right="0.75" top="1" bottom="1" header="0.5" footer="0.5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5A7E245-682D-45F2-9D8D-A27000981116}">
          <x14:formula1>
            <xm:f>'Tâches déjà effectuées'!$A$2:$A$13</xm:f>
          </x14:formula1>
          <xm:sqref>J7:J204</xm:sqref>
        </x14:dataValidation>
        <x14:dataValidation type="list" allowBlank="1" showInputMessage="1" showErrorMessage="1" xr:uid="{4AB40A4D-F89A-4F07-8F1D-4924305D1D0F}">
          <x14:formula1>
            <xm:f>'Tâches restantes'!$A$2:$A$6</xm:f>
          </x14:formula1>
          <xm:sqref>K8:K204</xm:sqref>
        </x14:dataValidation>
        <x14:dataValidation type="list" allowBlank="1" xr:uid="{5A3FEB8E-2466-4FFE-8638-20A748610E18}">
          <x14:formula1>
            <xm:f>Parametres!$A$2:$A$55</xm:f>
          </x14:formula1>
          <xm:sqref>H205:H227 G8:G204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3D081-BD2E-40BB-861D-465C1267EB33}">
  <sheetPr codeName="Feuil8"/>
  <dimension ref="B2:I19"/>
  <sheetViews>
    <sheetView workbookViewId="0"/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4" t="s">
        <v>180</v>
      </c>
      <c r="C2" s="84"/>
      <c r="D2" s="84"/>
      <c r="E2" s="84"/>
      <c r="F2" s="84"/>
      <c r="G2" s="84"/>
      <c r="H2" s="84"/>
      <c r="I2" s="84"/>
    </row>
    <row r="4" spans="2:9" x14ac:dyDescent="0.25">
      <c r="B4" s="81" t="s">
        <v>154</v>
      </c>
      <c r="C4" s="81"/>
      <c r="D4" s="81" t="s">
        <v>155</v>
      </c>
      <c r="E4" s="81"/>
      <c r="F4" s="81" t="s">
        <v>156</v>
      </c>
      <c r="G4" s="81"/>
      <c r="H4" s="81" t="s">
        <v>157</v>
      </c>
      <c r="I4" s="81"/>
    </row>
    <row r="5" spans="2:9" x14ac:dyDescent="0.25">
      <c r="B5" s="82">
        <f>COUNTA('Campagne de Rose'!H8:H199)</f>
        <v>3</v>
      </c>
      <c r="C5" s="82"/>
      <c r="D5" s="82">
        <f ca="1">COUNTIF('Campagne de Rose'!D8:D199, "Urgent (J-0)")</f>
        <v>0</v>
      </c>
      <c r="E5" s="82"/>
      <c r="F5" s="82">
        <f ca="1">COUNTIF('Campagne de Rose'!D8:D199, "Relance à J-7")</f>
        <v>0</v>
      </c>
      <c r="G5" s="82"/>
      <c r="H5" s="83">
        <f>SUM('Campagne de Rose'!M8:M199)</f>
        <v>0</v>
      </c>
      <c r="I5" s="82"/>
    </row>
    <row r="6" spans="2:9" x14ac:dyDescent="0.25">
      <c r="B6" s="82"/>
      <c r="C6" s="82"/>
      <c r="D6" s="82"/>
      <c r="E6" s="82"/>
      <c r="F6" s="82"/>
      <c r="G6" s="82"/>
      <c r="H6" s="82"/>
      <c r="I6" s="82"/>
    </row>
    <row r="8" spans="2:9" x14ac:dyDescent="0.25">
      <c r="B8" s="21" t="s">
        <v>158</v>
      </c>
      <c r="C8" s="21" t="s">
        <v>159</v>
      </c>
    </row>
    <row r="9" spans="2:9" x14ac:dyDescent="0.25">
      <c r="B9" s="22" t="s">
        <v>80</v>
      </c>
      <c r="C9" s="22">
        <f>COUNTIF('Campagne de Rose'!I8:I199, "0%*")</f>
        <v>5</v>
      </c>
    </row>
    <row r="10" spans="2:9" x14ac:dyDescent="0.25">
      <c r="B10" s="22" t="s">
        <v>78</v>
      </c>
      <c r="C10" s="22">
        <f>COUNTIF('Campagne de Rose'!I8:I199, "25%*")</f>
        <v>5</v>
      </c>
    </row>
    <row r="11" spans="2:9" x14ac:dyDescent="0.25">
      <c r="B11" s="22" t="s">
        <v>79</v>
      </c>
      <c r="C11" s="22">
        <f>COUNTIF('Campagne de Rose'!I8:I199, "50%*")</f>
        <v>0</v>
      </c>
    </row>
    <row r="12" spans="2:9" x14ac:dyDescent="0.25">
      <c r="B12" s="22" t="s">
        <v>76</v>
      </c>
      <c r="C12" s="22">
        <f>COUNTIF('Campagne de Rose'!I8:I199, "75%*")</f>
        <v>4</v>
      </c>
    </row>
    <row r="13" spans="2:9" x14ac:dyDescent="0.25">
      <c r="B13" s="22" t="s">
        <v>160</v>
      </c>
      <c r="C13" s="22">
        <f>COUNTIF('Campagne de Rose'!I8:I199, "100%*")</f>
        <v>3</v>
      </c>
    </row>
    <row r="15" spans="2:9" x14ac:dyDescent="0.25">
      <c r="B15" s="21" t="s">
        <v>161</v>
      </c>
      <c r="C15" s="21" t="s">
        <v>162</v>
      </c>
    </row>
    <row r="16" spans="2:9" x14ac:dyDescent="0.25">
      <c r="B16" s="22" t="s">
        <v>163</v>
      </c>
      <c r="C16" s="23">
        <f>SUM('Campagne de Rose'!L8:L199)</f>
        <v>45850000</v>
      </c>
    </row>
    <row r="17" spans="2:3" x14ac:dyDescent="0.25">
      <c r="B17" s="22" t="s">
        <v>164</v>
      </c>
      <c r="C17" s="23">
        <f>SUM('Campagne de Rose'!M8:M199)</f>
        <v>0</v>
      </c>
    </row>
    <row r="18" spans="2:3" x14ac:dyDescent="0.25">
      <c r="B18" s="22" t="s">
        <v>165</v>
      </c>
      <c r="C18" s="23">
        <f>SUM('Campagne de Rose'!N8:N199)</f>
        <v>45850000</v>
      </c>
    </row>
    <row r="19" spans="2:3" x14ac:dyDescent="0.25">
      <c r="B19" s="22" t="s">
        <v>166</v>
      </c>
      <c r="C19" s="24">
        <f>IF(C16&gt;0, C17/C16, 0)</f>
        <v>0</v>
      </c>
    </row>
  </sheetData>
  <sheetProtection algorithmName="SHA-512" hashValue="OX8phoXDsNDleNaKcNjrYAPqoa2fKNGM+dwvxmv3nLQ/VQa3m9fwgty7qE7y+hWS4sNAcXo/LbJLGuxunHlwDA==" saltValue="R2J3ZUIGkjtD6wM/O3UIhA==" spinCount="100000" sheet="1" objects="1" scenarios="1"/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C316D-F0C2-4F14-80E3-F3674CC80071}">
  <sheetPr codeName="Feuil9"/>
  <dimension ref="B2:I19"/>
  <sheetViews>
    <sheetView topLeftCell="A10" workbookViewId="0">
      <selection activeCell="B4" sqref="B4:C4"/>
    </sheetView>
  </sheetViews>
  <sheetFormatPr baseColWidth="10" defaultRowHeight="15" x14ac:dyDescent="0.25"/>
  <cols>
    <col min="1" max="1" width="3.7109375" style="2" customWidth="1"/>
    <col min="2" max="2" width="20.85546875" style="2" bestFit="1" customWidth="1"/>
    <col min="3" max="3" width="17.85546875" style="2" bestFit="1" customWidth="1"/>
    <col min="4" max="16384" width="11.42578125" style="2"/>
  </cols>
  <sheetData>
    <row r="2" spans="2:9" ht="39.950000000000003" customHeight="1" x14ac:dyDescent="0.25">
      <c r="B2" s="84" t="s">
        <v>181</v>
      </c>
      <c r="C2" s="84"/>
      <c r="D2" s="84"/>
      <c r="E2" s="84"/>
      <c r="F2" s="84"/>
      <c r="G2" s="84"/>
      <c r="H2" s="84"/>
      <c r="I2" s="84"/>
    </row>
    <row r="4" spans="2:9" x14ac:dyDescent="0.25">
      <c r="B4" s="81" t="s">
        <v>154</v>
      </c>
      <c r="C4" s="81"/>
      <c r="D4" s="81" t="s">
        <v>155</v>
      </c>
      <c r="E4" s="81"/>
      <c r="F4" s="81" t="s">
        <v>156</v>
      </c>
      <c r="G4" s="81"/>
      <c r="H4" s="81" t="s">
        <v>157</v>
      </c>
      <c r="I4" s="81"/>
    </row>
    <row r="5" spans="2:9" x14ac:dyDescent="0.25">
      <c r="B5" s="82">
        <f>COUNTA('Campagne de Yannick'!H8:H204)</f>
        <v>3</v>
      </c>
      <c r="C5" s="82"/>
      <c r="D5" s="82">
        <f ca="1">COUNTIF('Campagne de Yannick'!D8:D204, "Urgent (J-0)")</f>
        <v>0</v>
      </c>
      <c r="E5" s="82"/>
      <c r="F5" s="82">
        <f ca="1">COUNTIF('Campagne de Yannick'!D8:D204, "Relance à J-7")</f>
        <v>0</v>
      </c>
      <c r="G5" s="82"/>
      <c r="H5" s="83">
        <f>SUM('Campagne de Yannick'!M8:M204)</f>
        <v>0</v>
      </c>
      <c r="I5" s="82"/>
    </row>
    <row r="6" spans="2:9" x14ac:dyDescent="0.25">
      <c r="B6" s="82"/>
      <c r="C6" s="82"/>
      <c r="D6" s="82"/>
      <c r="E6" s="82"/>
      <c r="F6" s="82"/>
      <c r="G6" s="82"/>
      <c r="H6" s="82"/>
      <c r="I6" s="82"/>
    </row>
    <row r="8" spans="2:9" x14ac:dyDescent="0.25">
      <c r="B8" s="21" t="s">
        <v>158</v>
      </c>
      <c r="C8" s="21" t="s">
        <v>159</v>
      </c>
    </row>
    <row r="9" spans="2:9" x14ac:dyDescent="0.25">
      <c r="B9" s="22" t="s">
        <v>80</v>
      </c>
      <c r="C9" s="22">
        <f>COUNTIF('Campagne de Yannick'!I8:I204, "0%*")</f>
        <v>0</v>
      </c>
    </row>
    <row r="10" spans="2:9" x14ac:dyDescent="0.25">
      <c r="B10" s="22" t="s">
        <v>78</v>
      </c>
      <c r="C10" s="22">
        <f>COUNTIF('Campagne de Yannick'!I8:I204, "25%*")</f>
        <v>2</v>
      </c>
    </row>
    <row r="11" spans="2:9" x14ac:dyDescent="0.25">
      <c r="B11" s="22" t="s">
        <v>79</v>
      </c>
      <c r="C11" s="22">
        <f>COUNTIF('Campagne de Yannick'!I8:I204, "50%*")</f>
        <v>0</v>
      </c>
    </row>
    <row r="12" spans="2:9" x14ac:dyDescent="0.25">
      <c r="B12" s="22" t="s">
        <v>76</v>
      </c>
      <c r="C12" s="22">
        <f>COUNTIF('Campagne de Yannick'!I8:I204, "75%*")</f>
        <v>0</v>
      </c>
    </row>
    <row r="13" spans="2:9" x14ac:dyDescent="0.25">
      <c r="B13" s="22" t="s">
        <v>160</v>
      </c>
      <c r="C13" s="22">
        <f>COUNTIF('Campagne de Yannick'!I8:I204, "100%*")</f>
        <v>0</v>
      </c>
    </row>
    <row r="15" spans="2:9" x14ac:dyDescent="0.25">
      <c r="B15" s="21" t="s">
        <v>161</v>
      </c>
      <c r="C15" s="21" t="s">
        <v>162</v>
      </c>
    </row>
    <row r="16" spans="2:9" x14ac:dyDescent="0.25">
      <c r="B16" s="22" t="s">
        <v>163</v>
      </c>
      <c r="C16" s="23">
        <f>SUM('Campagne de Yannick'!L8:L204)</f>
        <v>250000</v>
      </c>
    </row>
    <row r="17" spans="2:3" x14ac:dyDescent="0.25">
      <c r="B17" s="22" t="s">
        <v>164</v>
      </c>
      <c r="C17" s="23">
        <f>SUM('Campagne de Yannick'!M8:M204)</f>
        <v>0</v>
      </c>
    </row>
    <row r="18" spans="2:3" x14ac:dyDescent="0.25">
      <c r="B18" s="22" t="s">
        <v>165</v>
      </c>
      <c r="C18" s="23">
        <f>SUM('Campagne de Yannick'!N8:N204)</f>
        <v>250000</v>
      </c>
    </row>
    <row r="19" spans="2:3" x14ac:dyDescent="0.25">
      <c r="B19" s="22" t="s">
        <v>166</v>
      </c>
      <c r="C19" s="24">
        <f>IF(C16&gt;0, C17/C16, 0)</f>
        <v>0</v>
      </c>
    </row>
  </sheetData>
  <mergeCells count="9">
    <mergeCell ref="B2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FD210-375D-43CF-B38B-FFF6CCD0CD62}">
  <sheetPr codeName="Feuil10"/>
  <dimension ref="A1:Q1"/>
  <sheetViews>
    <sheetView workbookViewId="0"/>
  </sheetViews>
  <sheetFormatPr baseColWidth="10" defaultRowHeight="15" x14ac:dyDescent="0.25"/>
  <cols>
    <col min="1" max="1" width="15.7109375" bestFit="1" customWidth="1"/>
    <col min="2" max="2" width="19" bestFit="1" customWidth="1"/>
    <col min="3" max="3" width="9.28515625" bestFit="1" customWidth="1"/>
    <col min="4" max="4" width="8.140625" bestFit="1" customWidth="1"/>
    <col min="5" max="5" width="17.140625" bestFit="1" customWidth="1"/>
    <col min="6" max="6" width="17" bestFit="1" customWidth="1"/>
    <col min="7" max="7" width="11.140625" bestFit="1" customWidth="1"/>
    <col min="8" max="8" width="16.5703125" bestFit="1" customWidth="1"/>
    <col min="9" max="9" width="10" bestFit="1" customWidth="1"/>
    <col min="10" max="10" width="18.28515625" bestFit="1" customWidth="1"/>
    <col min="11" max="11" width="18.5703125" bestFit="1" customWidth="1"/>
    <col min="12" max="12" width="16.5703125" bestFit="1" customWidth="1"/>
    <col min="13" max="14" width="14" bestFit="1" customWidth="1"/>
    <col min="15" max="15" width="12.5703125" bestFit="1" customWidth="1"/>
    <col min="16" max="16" width="22.42578125" bestFit="1" customWidth="1"/>
    <col min="17" max="17" width="17.5703125" bestFit="1" customWidth="1"/>
  </cols>
  <sheetData>
    <row r="1" spans="1:17" s="58" customFormat="1" ht="27.95" customHeight="1" x14ac:dyDescent="0.2">
      <c r="A1" s="38" t="s">
        <v>62</v>
      </c>
      <c r="B1" s="39" t="s">
        <v>63</v>
      </c>
      <c r="C1" s="39" t="s">
        <v>130</v>
      </c>
      <c r="D1" s="39" t="s">
        <v>131</v>
      </c>
      <c r="E1" s="40" t="s">
        <v>132</v>
      </c>
      <c r="F1" s="39" t="s">
        <v>133</v>
      </c>
      <c r="G1" s="39" t="s">
        <v>64</v>
      </c>
      <c r="H1" s="39" t="s">
        <v>65</v>
      </c>
      <c r="I1" s="39" t="s">
        <v>66</v>
      </c>
      <c r="J1" s="39" t="s">
        <v>67</v>
      </c>
      <c r="K1" s="39" t="s">
        <v>68</v>
      </c>
      <c r="L1" s="39" t="s">
        <v>69</v>
      </c>
      <c r="M1" s="39" t="s">
        <v>70</v>
      </c>
      <c r="N1" s="39" t="s">
        <v>71</v>
      </c>
      <c r="O1" s="39" t="s">
        <v>72</v>
      </c>
      <c r="P1" s="39" t="s">
        <v>73</v>
      </c>
      <c r="Q1" s="41" t="s">
        <v>74</v>
      </c>
    </row>
  </sheetData>
  <sheetProtection algorithmName="SHA-512" hashValue="iOxn0rpeuTujecoXiLrV9nM4NLqLOa9B+kSGwEviuoVrV4RsWDHtgo/OnFN+dKj4oPszUhjJfTBPHtWR7WfYeA==" saltValue="MIxIKBWr7HqrRiq7Eqv26w==" spinCount="100000" sheet="1" objects="1" scenarios="1"/>
  <conditionalFormatting sqref="D1">
    <cfRule type="containsText" dxfId="3" priority="1" operator="containsText" text="Relance à &gt;7jours">
      <formula>NOT(ISERROR(SEARCH("Relance à &gt;7jours",D1)))</formula>
    </cfRule>
    <cfRule type="containsText" dxfId="2" priority="2" operator="containsText" text="Déjà relancé">
      <formula>NOT(ISERROR(SEARCH("Déjà relancé",D1)))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75328B-6809-4FA0-9FD4-737C9530675A}">
          <x14:formula1>
            <xm:f>'Tâches déjà effectuées'!$A$2:$A$13</xm:f>
          </x14:formula1>
          <xm:sqref>J1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532E8-65C3-4BFD-AF68-3EA8E0CB0DE1}">
  <sheetPr codeName="Feuil11"/>
  <dimension ref="A1:R1"/>
  <sheetViews>
    <sheetView workbookViewId="0"/>
  </sheetViews>
  <sheetFormatPr baseColWidth="10" defaultRowHeight="15" x14ac:dyDescent="0.25"/>
  <cols>
    <col min="1" max="1" width="15.7109375" bestFit="1" customWidth="1"/>
    <col min="2" max="2" width="19" bestFit="1" customWidth="1"/>
    <col min="3" max="3" width="9.28515625" bestFit="1" customWidth="1"/>
    <col min="4" max="4" width="8.140625" bestFit="1" customWidth="1"/>
    <col min="5" max="5" width="17.140625" bestFit="1" customWidth="1"/>
    <col min="6" max="6" width="17" bestFit="1" customWidth="1"/>
    <col min="7" max="7" width="11.140625" bestFit="1" customWidth="1"/>
    <col min="8" max="8" width="16.5703125" bestFit="1" customWidth="1"/>
    <col min="9" max="9" width="10" bestFit="1" customWidth="1"/>
    <col min="10" max="10" width="18.28515625" bestFit="1" customWidth="1"/>
    <col min="11" max="11" width="18.5703125" bestFit="1" customWidth="1"/>
    <col min="12" max="12" width="16.5703125" bestFit="1" customWidth="1"/>
    <col min="13" max="14" width="14" bestFit="1" customWidth="1"/>
    <col min="15" max="15" width="12.5703125" bestFit="1" customWidth="1"/>
    <col min="16" max="16" width="22.42578125" bestFit="1" customWidth="1"/>
    <col min="17" max="17" width="17.5703125" bestFit="1" customWidth="1"/>
    <col min="18" max="18" width="10.42578125" bestFit="1" customWidth="1"/>
  </cols>
  <sheetData>
    <row r="1" spans="1:18" s="58" customFormat="1" ht="27.95" customHeight="1" x14ac:dyDescent="0.2">
      <c r="A1" s="38" t="s">
        <v>62</v>
      </c>
      <c r="B1" s="39" t="s">
        <v>63</v>
      </c>
      <c r="C1" s="39" t="s">
        <v>130</v>
      </c>
      <c r="D1" s="39" t="s">
        <v>131</v>
      </c>
      <c r="E1" s="40" t="s">
        <v>132</v>
      </c>
      <c r="F1" s="39" t="s">
        <v>133</v>
      </c>
      <c r="G1" s="39" t="s">
        <v>64</v>
      </c>
      <c r="H1" s="39" t="s">
        <v>65</v>
      </c>
      <c r="I1" s="39" t="s">
        <v>66</v>
      </c>
      <c r="J1" s="39" t="s">
        <v>67</v>
      </c>
      <c r="K1" s="39" t="s">
        <v>68</v>
      </c>
      <c r="L1" s="39" t="s">
        <v>69</v>
      </c>
      <c r="M1" s="39" t="s">
        <v>70</v>
      </c>
      <c r="N1" s="39" t="s">
        <v>71</v>
      </c>
      <c r="O1" s="39" t="s">
        <v>72</v>
      </c>
      <c r="P1" s="39" t="s">
        <v>73</v>
      </c>
      <c r="Q1" s="41" t="s">
        <v>74</v>
      </c>
      <c r="R1" s="39" t="s">
        <v>174</v>
      </c>
    </row>
  </sheetData>
  <sheetProtection algorithmName="SHA-512" hashValue="aztOTTCZtEDoKv5gDmquEhaNweMrNPXM98rP8mOxidJ4PpgykZON3WHDx4NA2NlyyIJYr1xdsZuxao+wkJ/RFA==" saltValue="gODUV1m9jF6YxksitkZ4rQ==" spinCount="100000" sheet="1" objects="1" scenarios="1"/>
  <conditionalFormatting sqref="D1">
    <cfRule type="containsText" dxfId="1" priority="1" operator="containsText" text="Relance à &gt;7jours">
      <formula>NOT(ISERROR(SEARCH("Relance à &gt;7jours",D1)))</formula>
    </cfRule>
    <cfRule type="containsText" dxfId="0" priority="2" operator="containsText" text="Déjà relancé">
      <formula>NOT(ISERROR(SEARCH("Déjà relancé",D1)))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CDCF31-1914-4D12-8981-6AAAA0D2D694}">
          <x14:formula1>
            <xm:f>'Tâches déjà effectuées'!$A$2:$A$13</xm:f>
          </x14:formula1>
          <xm:sqref>J1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</vt:i4>
      </vt:variant>
    </vt:vector>
  </HeadingPairs>
  <TitlesOfParts>
    <vt:vector size="14" baseType="lpstr">
      <vt:lpstr>Parametres</vt:lpstr>
      <vt:lpstr>Modele_Campagne</vt:lpstr>
      <vt:lpstr>Campagne_Exemple</vt:lpstr>
      <vt:lpstr>Campagne de Rose</vt:lpstr>
      <vt:lpstr>Tâches déjà effectuées</vt:lpstr>
      <vt:lpstr>Tâches restantes</vt:lpstr>
      <vt:lpstr>Dashboard</vt:lpstr>
      <vt:lpstr>Campagne de Yannick</vt:lpstr>
      <vt:lpstr>Dashboard_Rose</vt:lpstr>
      <vt:lpstr>Dashboard_Yannick</vt:lpstr>
      <vt:lpstr>Archives_Rose</vt:lpstr>
      <vt:lpstr>Archives_Yannick</vt:lpstr>
      <vt:lpstr>'Campagne de Rose'!Criteres</vt:lpstr>
      <vt:lpstr>'Campagne de Yannick'!Criteres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RAPIDE COMPUTER</cp:lastModifiedBy>
  <dcterms:created xsi:type="dcterms:W3CDTF">2026-08-21T08:22:17Z</dcterms:created>
  <dcterms:modified xsi:type="dcterms:W3CDTF">2026-08-31T13:44:37Z</dcterms:modified>
</cp:coreProperties>
</file>