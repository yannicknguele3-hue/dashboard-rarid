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-120" yWindow="-120" windowWidth="19440" windowHeight="15600"/>
  </bookViews>
  <sheets>
    <sheet name="TABLEAU DE BORD" sheetId="1" r:id="rId1"/>
    <sheet name="MODELE_ARTICLE" sheetId="2" r:id="rId2"/>
    <sheet name="REV-2026-001" sheetId="12" r:id="rId3"/>
  </sheets>
  <definedNames>
    <definedName name="_xlnm.Print_Titles" localSheetId="1">MODELE_ARTICLE!$1:$1</definedName>
    <definedName name="_xlnm.Print_Titles" localSheetId="2">'REV-2026-001'!$1:$1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B4" i="1"/>
  <c r="C4" i="1"/>
  <c r="D4" i="1"/>
  <c r="D27" i="12" l="1"/>
  <c r="D26" i="12"/>
  <c r="D25" i="12"/>
  <c r="D24" i="12"/>
  <c r="D23" i="12"/>
  <c r="D22" i="12"/>
  <c r="D21" i="12"/>
  <c r="D20" i="12"/>
  <c r="D19" i="12"/>
  <c r="D18" i="12"/>
  <c r="D17" i="12"/>
  <c r="G2" i="12"/>
  <c r="B2" i="12"/>
  <c r="A7" i="1"/>
  <c r="A8" i="1"/>
  <c r="A9" i="1"/>
  <c r="A10" i="1"/>
  <c r="B2" i="2"/>
  <c r="G2" i="2" l="1"/>
  <c r="G8" i="1"/>
  <c r="G9" i="1"/>
  <c r="G10" i="1"/>
  <c r="G7" i="1"/>
  <c r="D27" i="2"/>
  <c r="D26" i="2"/>
  <c r="D25" i="2"/>
  <c r="D24" i="2"/>
  <c r="D23" i="2"/>
  <c r="D22" i="2"/>
  <c r="D21" i="2"/>
  <c r="D20" i="2"/>
  <c r="D19" i="2"/>
  <c r="D18" i="2"/>
  <c r="D17" i="2"/>
  <c r="A4" i="1"/>
  <c r="E5" i="2" s="1"/>
  <c r="B4" i="12" l="1"/>
  <c r="B3" i="12"/>
  <c r="E6" i="12"/>
  <c r="B6" i="12"/>
  <c r="B5" i="12"/>
  <c r="E5" i="12"/>
  <c r="E2" i="12"/>
  <c r="E4" i="12"/>
  <c r="E6" i="2"/>
  <c r="B4" i="2"/>
  <c r="B3" i="2"/>
  <c r="E4" i="2"/>
  <c r="E2" i="2"/>
  <c r="B5" i="2"/>
  <c r="B6" i="2"/>
</calcChain>
</file>

<file path=xl/sharedStrings.xml><?xml version="1.0" encoding="utf-8"?>
<sst xmlns="http://schemas.openxmlformats.org/spreadsheetml/2006/main" count="271" uniqueCount="116">
  <si>
    <t>REGISTRE GLOBAL &amp; TABLEAU DE BORD - RARID JOURNAL</t>
  </si>
  <si>
    <t>Total Articles</t>
  </si>
  <si>
    <t>En Relecture</t>
  </si>
  <si>
    <t>En Révision</t>
  </si>
  <si>
    <t>Acceptés / Publiés</t>
  </si>
  <si>
    <t>Rejetés</t>
  </si>
  <si>
    <t>ID Article</t>
  </si>
  <si>
    <t>Titre de l'Article</t>
  </si>
  <si>
    <t>Auteur Correspondant</t>
  </si>
  <si>
    <t>Domaine Thématique</t>
  </si>
  <si>
    <t>Statut Global</t>
  </si>
  <si>
    <t>Date Soumission</t>
  </si>
  <si>
    <t>Lien Onglet</t>
  </si>
  <si>
    <t>Étude sur l'impact des technologies émergentes en Afrique Central</t>
  </si>
  <si>
    <t>Dr. Alain Dupont</t>
  </si>
  <si>
    <t>Innovations et technologies</t>
  </si>
  <si>
    <t>2026-08-15</t>
  </si>
  <si>
    <t>Analyse des politiques publiques de santé et environnement</t>
  </si>
  <si>
    <t>Dr. Chantal Etoa</t>
  </si>
  <si>
    <t>Santé et environnement</t>
  </si>
  <si>
    <t>2026-08-16</t>
  </si>
  <si>
    <t>Cadre juridique de la transformation digitale des PME</t>
  </si>
  <si>
    <t>Prof. Bernard Kamga</t>
  </si>
  <si>
    <t>Gouvernance, Droit et Politique Publique</t>
  </si>
  <si>
    <t>2026-08-01</t>
  </si>
  <si>
    <t>Infrastructures routières et développement durable à Douala</t>
  </si>
  <si>
    <t>Ing. Marc Nsangou</t>
  </si>
  <si>
    <t>Infrastructures et développement</t>
  </si>
  <si>
    <t>2026-07-20</t>
  </si>
  <si>
    <t>FICHE DE SUIVI AUTEUR - RARID JOURNAL</t>
  </si>
  <si>
    <t>ID ARTICLE :</t>
  </si>
  <si>
    <t>STATUT GLOBAL :</t>
  </si>
  <si>
    <t>TITRE :</t>
  </si>
  <si>
    <t>AUTEUR CORRESPONDANT :</t>
  </si>
  <si>
    <t>EMAIL / TEL :</t>
  </si>
  <si>
    <t>INSTITUTION :</t>
  </si>
  <si>
    <t>PAYS :</t>
  </si>
  <si>
    <t>DOMAINE THÉMATIQUE :</t>
  </si>
  <si>
    <t>ZONE 2 : CO-AUTEURS &amp; CONTRIBUTIONS (CRediT)</t>
  </si>
  <si>
    <t>N°</t>
  </si>
  <si>
    <t>Nom &amp; Prénom</t>
  </si>
  <si>
    <t>Institution</t>
  </si>
  <si>
    <t>Email</t>
  </si>
  <si>
    <t>FDR Signé (O/N)</t>
  </si>
  <si>
    <t>Notes</t>
  </si>
  <si>
    <t>Non</t>
  </si>
  <si>
    <t>ZONE 3 : SUIVI DU PROCESSUS ÉDITORIAL</t>
  </si>
  <si>
    <t>Étape</t>
  </si>
  <si>
    <t>Date Prévue</t>
  </si>
  <si>
    <t>Date Réelle</t>
  </si>
  <si>
    <t>Délai (Jours)</t>
  </si>
  <si>
    <t>Responsable</t>
  </si>
  <si>
    <t>Statut</t>
  </si>
  <si>
    <t>Commentaires</t>
  </si>
  <si>
    <t>1. Accusé de réception</t>
  </si>
  <si>
    <t>Secrétariat</t>
  </si>
  <si>
    <t>En attente</t>
  </si>
  <si>
    <t>2. Check anti-plagiat</t>
  </si>
  <si>
    <t>Rédacteur en chef</t>
  </si>
  <si>
    <t>3. Envoi aux relecteurs</t>
  </si>
  <si>
    <t>Comité Éditorial</t>
  </si>
  <si>
    <t>4. Retour relecteur 1</t>
  </si>
  <si>
    <t>Relecteur 1</t>
  </si>
  <si>
    <t>5. Retour relecteur 2</t>
  </si>
  <si>
    <t>Relecteur 2</t>
  </si>
  <si>
    <t>6. Décision 1</t>
  </si>
  <si>
    <t>7. Retour auteur (Révisions)</t>
  </si>
  <si>
    <t>Auteur correspondant</t>
  </si>
  <si>
    <t>8. Décision finale</t>
  </si>
  <si>
    <t>9. Envoi épreuves (Mise en page)</t>
  </si>
  <si>
    <t>10. BAT Auteur</t>
  </si>
  <si>
    <t>11. Publication</t>
  </si>
  <si>
    <t>ZONE 4 : DOCUMENTS &amp; CONFORMITÉ</t>
  </si>
  <si>
    <t>Document requis</t>
  </si>
  <si>
    <t>Reçu (O/N)</t>
  </si>
  <si>
    <t>Date Réception</t>
  </si>
  <si>
    <t>Lien / Emplacement Fichier</t>
  </si>
  <si>
    <t>Notes &amp; Format</t>
  </si>
  <si>
    <t>Manuscrit version finale</t>
  </si>
  <si>
    <t>Format .docx + .pdf</t>
  </si>
  <si>
    <t>Figures &amp; Tableaux HD</t>
  </si>
  <si>
    <t>300 DPI, PNG/TIFF</t>
  </si>
  <si>
    <t>Formulaire Transfert de Droits (FDR)</t>
  </si>
  <si>
    <t>Signé par tous les auteurs</t>
  </si>
  <si>
    <t>Déclaration Conflit d'intérêts</t>
  </si>
  <si>
    <t>Formulaire RARID rempli</t>
  </si>
  <si>
    <t>Approbation éthique / CPP</t>
  </si>
  <si>
    <t>N° CPP si étude humaine/animale</t>
  </si>
  <si>
    <t>Données brutes / Dépôt</t>
  </si>
  <si>
    <t>Lien Zenodo / OSF</t>
  </si>
  <si>
    <t>ZONE 5 : HISTORIQUE DE COMMUNICATION &amp; RELANCES</t>
  </si>
  <si>
    <t>Action / Relance</t>
  </si>
  <si>
    <t>Date Effective</t>
  </si>
  <si>
    <t>Fait par</t>
  </si>
  <si>
    <t>Canal / Support</t>
  </si>
  <si>
    <t>Statut / Résultat</t>
  </si>
  <si>
    <t>Remarques</t>
  </si>
  <si>
    <t>Accusé de réception envoyé</t>
  </si>
  <si>
    <t>Relance Relecteur 1</t>
  </si>
  <si>
    <t>Rappel J+7</t>
  </si>
  <si>
    <t>Relance Relecteur 2</t>
  </si>
  <si>
    <t>Notification Décision 1</t>
  </si>
  <si>
    <t>Rédacteur en Chef</t>
  </si>
  <si>
    <t>ZONE 6 : NOTES / OBSERVATIONS / BLOQUAGES</t>
  </si>
  <si>
    <t>Inscrivez ici tout point particulier, retard explicité par l'auteur, conflit d'intérêt à surveiller ou consigne spécifique du Comité Éditorial...</t>
  </si>
  <si>
    <t>Rôle Crédit</t>
  </si>
  <si>
    <t>Colonne1</t>
  </si>
  <si>
    <t>Colonne2</t>
  </si>
  <si>
    <t>Révision majeure</t>
  </si>
  <si>
    <t>Pays</t>
  </si>
  <si>
    <t>Email/Téléphone</t>
  </si>
  <si>
    <t>SOLDE</t>
  </si>
  <si>
    <t>Solde</t>
  </si>
  <si>
    <t>Acceptation avec corrections</t>
  </si>
  <si>
    <t>Acceptation</t>
  </si>
  <si>
    <t>Rejet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</si>
</sst>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name val="Calibri"/>
    </font>
    <font>
      <b/>
      <sz val="16"/>
      <color rgb="FFFFFFFF"/>
      <name val="Times New Roman"/>
      <family val="1"/>
    </font>
    <font>
      <sz val="11"/>
      <name val="Times New Roman"/>
      <family val="1"/>
    </font>
    <font>
      <b/>
      <sz val="10"/>
      <color rgb="FFFFFFFF"/>
      <name val="Times New Roman"/>
      <family val="1"/>
    </font>
    <font>
      <b/>
      <sz val="14"/>
      <color rgb="FF1B365D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color rgb="FFFFFFFF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i/>
      <sz val="9"/>
      <color rgb="FF555555"/>
      <name val="Times New Roman"/>
      <family val="1"/>
    </font>
    <font>
      <u/>
      <sz val="11"/>
      <color theme="10"/>
      <name val="Calibri"/>
    </font>
    <font>
      <b/>
      <sz val="10"/>
      <color rgb="FFFFFFFF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4A777A"/>
        <bgColor rgb="FF4A777A"/>
      </patternFill>
    </fill>
    <fill>
      <patternFill patternType="solid">
        <fgColor rgb="FFF4F7F9"/>
        <bgColor rgb="FFF4F7F9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/>
    <xf numFmtId="0" fontId="9" fillId="0" borderId="1" xfId="0" applyFont="1" applyBorder="1" applyAlignment="1"/>
    <xf numFmtId="0" fontId="10" fillId="0" borderId="1" xfId="0" applyFont="1" applyBorder="1" applyAlignment="1"/>
    <xf numFmtId="0" fontId="11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/>
    <xf numFmtId="0" fontId="9" fillId="5" borderId="1" xfId="0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0" borderId="1" xfId="1" applyBorder="1" applyAlignment="1">
      <alignment horizontal="center" vertical="center"/>
    </xf>
    <xf numFmtId="0" fontId="13" fillId="0" borderId="1" xfId="1" applyBorder="1" applyAlignment="1"/>
    <xf numFmtId="0" fontId="2" fillId="0" borderId="0" xfId="0" applyFont="1">
      <alignment vertical="center"/>
    </xf>
    <xf numFmtId="0" fontId="10" fillId="0" borderId="1" xfId="0" applyFont="1" applyBorder="1" applyAlignment="1"/>
    <xf numFmtId="0" fontId="9" fillId="0" borderId="1" xfId="0" applyFont="1" applyBorder="1" applyAlignment="1"/>
    <xf numFmtId="0" fontId="9" fillId="5" borderId="2" xfId="0" applyFont="1" applyFill="1" applyBorder="1" applyAlignment="1"/>
    <xf numFmtId="0" fontId="9" fillId="5" borderId="2" xfId="0" applyFont="1" applyFill="1" applyBorder="1" applyAlignment="1">
      <alignment horizontal="center" vertical="center"/>
    </xf>
    <xf numFmtId="3" fontId="9" fillId="5" borderId="2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9" fillId="5" borderId="8" xfId="0" applyFont="1" applyFill="1" applyBorder="1" applyAlignment="1"/>
    <xf numFmtId="0" fontId="9" fillId="0" borderId="8" xfId="0" applyFont="1" applyBorder="1" applyAlignment="1"/>
    <xf numFmtId="0" fontId="9" fillId="5" borderId="7" xfId="0" applyFont="1" applyFill="1" applyBorder="1" applyAlignment="1"/>
    <xf numFmtId="0" fontId="9" fillId="0" borderId="7" xfId="0" applyFont="1" applyBorder="1" applyAlignment="1"/>
    <xf numFmtId="0" fontId="11" fillId="4" borderId="13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9" fillId="5" borderId="10" xfId="0" applyFont="1" applyFill="1" applyBorder="1" applyAlignment="1"/>
    <xf numFmtId="0" fontId="9" fillId="5" borderId="9" xfId="0" applyFont="1" applyFill="1" applyBorder="1" applyAlignment="1"/>
    <xf numFmtId="0" fontId="2" fillId="0" borderId="13" xfId="0" applyFont="1" applyBorder="1">
      <alignment vertical="center"/>
    </xf>
    <xf numFmtId="0" fontId="2" fillId="0" borderId="3" xfId="0" applyFont="1" applyBorder="1">
      <alignment vertical="center"/>
    </xf>
    <xf numFmtId="0" fontId="10" fillId="0" borderId="8" xfId="0" applyFont="1" applyBorder="1" applyAlignment="1"/>
    <xf numFmtId="0" fontId="3" fillId="4" borderId="4" xfId="0" applyFont="1" applyFill="1" applyBorder="1" applyAlignment="1">
      <alignment horizontal="center" vertical="center"/>
    </xf>
    <xf numFmtId="0" fontId="9" fillId="0" borderId="10" xfId="0" applyFont="1" applyBorder="1" applyAlignment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/>
    <xf numFmtId="0" fontId="9" fillId="0" borderId="9" xfId="0" applyFont="1" applyBorder="1" applyAlignment="1"/>
    <xf numFmtId="0" fontId="14" fillId="4" borderId="4" xfId="0" applyFont="1" applyFill="1" applyBorder="1" applyAlignment="1">
      <alignment horizontal="center" vertical="center"/>
    </xf>
    <xf numFmtId="0" fontId="13" fillId="0" borderId="4" xfId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1" fillId="3" borderId="3" xfId="0" applyFont="1" applyFill="1" applyBorder="1" applyAlignment="1">
      <alignment horizontal="left" vertical="center" indent="1"/>
    </xf>
    <xf numFmtId="0" fontId="2" fillId="0" borderId="3" xfId="0" applyFont="1" applyBorder="1">
      <alignment vertical="center"/>
    </xf>
    <xf numFmtId="0" fontId="12" fillId="0" borderId="9" xfId="0" applyFont="1" applyBorder="1" applyAlignment="1">
      <alignment horizontal="left" vertical="top" wrapText="1"/>
    </xf>
    <xf numFmtId="0" fontId="10" fillId="0" borderId="5" xfId="0" applyFont="1" applyBorder="1" applyAlignment="1"/>
    <xf numFmtId="0" fontId="10" fillId="0" borderId="10" xfId="0" applyFont="1" applyBorder="1" applyAlignment="1"/>
    <xf numFmtId="0" fontId="10" fillId="0" borderId="11" xfId="0" applyFont="1" applyBorder="1" applyAlignment="1"/>
    <xf numFmtId="0" fontId="10" fillId="0" borderId="0" xfId="0" applyFont="1" applyBorder="1" applyAlignment="1"/>
    <xf numFmtId="0" fontId="10" fillId="0" borderId="12" xfId="0" applyFont="1" applyBorder="1" applyAlignment="1"/>
    <xf numFmtId="0" fontId="10" fillId="0" borderId="6" xfId="0" applyFont="1" applyBorder="1" applyAlignment="1"/>
    <xf numFmtId="0" fontId="10" fillId="0" borderId="3" xfId="0" applyFont="1" applyBorder="1" applyAlignment="1"/>
    <xf numFmtId="0" fontId="10" fillId="0" borderId="13" xfId="0" applyFont="1" applyBorder="1" applyAlignment="1"/>
    <xf numFmtId="0" fontId="9" fillId="0" borderId="1" xfId="0" applyFont="1" applyBorder="1" applyAlignment="1"/>
    <xf numFmtId="0" fontId="10" fillId="0" borderId="1" xfId="0" applyFont="1" applyBorder="1" applyAlignment="1"/>
    <xf numFmtId="0" fontId="11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rgb="FF4A777A"/>
          <bgColor rgb="FF4A77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rgb="FF4A777A"/>
          <bgColor rgb="FF4A77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numFmt numFmtId="3" formatCode="#,##0"/>
      <fill>
        <patternFill patternType="solid">
          <fgColor rgb="FFF4F7F9"/>
          <bgColor rgb="FFF4F7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rgb="FF4A777A"/>
          <bgColor rgb="FF4A77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rgb="FF4A777A"/>
          <bgColor rgb="FF4A77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rgb="FF4A777A"/>
          <bgColor rgb="FF4A77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numFmt numFmtId="3" formatCode="#,##0"/>
      <fill>
        <patternFill patternType="solid">
          <fgColor rgb="FFF4F7F9"/>
          <bgColor rgb="FFF4F7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rgb="FFF4F7F9"/>
          <bgColor rgb="FFF4F7F9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rgb="FF4A777A"/>
          <bgColor rgb="FF4A77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scheme val="none"/>
      </font>
      <fill>
        <patternFill patternType="solid">
          <fgColor rgb="FF4A777A"/>
          <bgColor rgb="FF4A77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6" name="Tableau6" displayName="Tableau6" ref="A6:K10" totalsRowShown="0" headerRowDxfId="75" headerRowBorderDxfId="74" tableBorderDxfId="73">
  <autoFilter ref="A6:K10"/>
  <tableColumns count="11">
    <tableColumn id="1" name="ID Article" dataDxfId="72"/>
    <tableColumn id="2" name="Titre de l'Article" dataDxfId="71"/>
    <tableColumn id="3" name="Auteur Correspondant" dataDxfId="70"/>
    <tableColumn id="4" name="Domaine Thématique" dataDxfId="69"/>
    <tableColumn id="5" name="Statut Global" dataDxfId="68"/>
    <tableColumn id="6" name="Date Soumission" dataDxfId="67"/>
    <tableColumn id="7" name="Lien Onglet" dataDxfId="66" dataCellStyle="Lien hypertexte"/>
    <tableColumn id="8" name="Pays" dataDxfId="65" dataCellStyle="Lien hypertexte"/>
    <tableColumn id="9" name="Institution" dataDxfId="64" dataCellStyle="Lien hypertexte"/>
    <tableColumn id="11" name="Email/Téléphone" dataDxfId="63" dataCellStyle="Lien hypertexte"/>
    <tableColumn id="12" name="Solde" dataDxfId="62" dataCellStyle="Lien hypertex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A16:G27" totalsRowShown="0" headerRowDxfId="61" headerRowBorderDxfId="60" tableBorderDxfId="59" totalsRowBorderDxfId="58">
  <autoFilter ref="A16:G27"/>
  <tableColumns count="7">
    <tableColumn id="1" name="Étape" dataDxfId="57"/>
    <tableColumn id="2" name="Date Prévue" dataDxfId="56"/>
    <tableColumn id="3" name="Date Réelle" dataDxfId="55"/>
    <tableColumn id="4" name="Délai (Jours)" dataDxfId="54">
      <calculatedColumnFormula>IF(ISBLANK(C17),"",C17-B17)</calculatedColumnFormula>
    </tableColumn>
    <tableColumn id="5" name="Responsable" dataDxfId="53"/>
    <tableColumn id="6" name="Statut" dataDxfId="52"/>
    <tableColumn id="7" name="Commentaires" dataDxfId="5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8" name="Tableau8" displayName="Tableau8" ref="A30:G37" totalsRowShown="0" headerRowDxfId="50" headerRowBorderDxfId="49">
  <autoFilter ref="A30:G37"/>
  <tableColumns count="7">
    <tableColumn id="1" name="Document requis" dataDxfId="48"/>
    <tableColumn id="2" name="Reçu (O/N)" dataDxfId="47"/>
    <tableColumn id="3" name="Date Réception" dataDxfId="46"/>
    <tableColumn id="4" name="Lien / Emplacement Fichier" dataDxfId="45"/>
    <tableColumn id="5" name="Colonne1" dataDxfId="44"/>
    <tableColumn id="6" name="Notes &amp; Format" dataDxfId="43"/>
    <tableColumn id="7" name="Colonne2" dataDxfId="4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9" name="Tableau9" displayName="Tableau9" ref="A40:G44" totalsRowShown="0" headerRowDxfId="41" headerRowBorderDxfId="40" tableBorderDxfId="39" totalsRowBorderDxfId="38">
  <autoFilter ref="A40:G44"/>
  <tableColumns count="7">
    <tableColumn id="1" name="Action / Relance" dataDxfId="37"/>
    <tableColumn id="2" name="Date Prévue" dataDxfId="36"/>
    <tableColumn id="3" name="Date Effective" dataDxfId="35"/>
    <tableColumn id="4" name="Fait par" dataDxfId="34"/>
    <tableColumn id="5" name="Canal / Support" dataDxfId="33"/>
    <tableColumn id="6" name="Statut / Résultat" dataDxfId="32"/>
    <tableColumn id="7" name="Remarques" dataDxfId="3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9" name="Tableau330" displayName="Tableau330" ref="A16:G27" totalsRowShown="0" headerRowDxfId="30" headerRowBorderDxfId="29" tableBorderDxfId="28" totalsRowBorderDxfId="27">
  <autoFilter ref="A16:G27"/>
  <tableColumns count="7">
    <tableColumn id="1" name="Étape" dataDxfId="26"/>
    <tableColumn id="2" name="Date Prévue" dataDxfId="25"/>
    <tableColumn id="3" name="Date Réelle" dataDxfId="24"/>
    <tableColumn id="4" name="Délai (Jours)" dataDxfId="23">
      <calculatedColumnFormula>IF(ISBLANK(C17),"",C17-B17)</calculatedColumnFormula>
    </tableColumn>
    <tableColumn id="5" name="Responsable" dataDxfId="22"/>
    <tableColumn id="6" name="Statut" dataDxfId="21"/>
    <tableColumn id="7" name="Commentaires" dataDxfId="2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30" name="Tableau831" displayName="Tableau831" ref="A30:G37" totalsRowShown="0" headerRowDxfId="19" headerRowBorderDxfId="18">
  <autoFilter ref="A30:G37"/>
  <tableColumns count="7">
    <tableColumn id="1" name="Document requis" dataDxfId="17"/>
    <tableColumn id="2" name="Reçu (O/N)" dataDxfId="16"/>
    <tableColumn id="3" name="Date Réception" dataDxfId="15"/>
    <tableColumn id="4" name="Lien / Emplacement Fichier" dataDxfId="14"/>
    <tableColumn id="5" name="Colonne1" dataDxfId="13"/>
    <tableColumn id="6" name="Notes &amp; Format" dataDxfId="12"/>
    <tableColumn id="7" name="Colonne2" dataDxfId="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31" name="Tableau932" displayName="Tableau932" ref="A40:G44" totalsRowShown="0" headerRowDxfId="10" headerRowBorderDxfId="9" tableBorderDxfId="8" totalsRowBorderDxfId="7">
  <autoFilter ref="A40:G44"/>
  <tableColumns count="7">
    <tableColumn id="1" name="Action / Relance" dataDxfId="6"/>
    <tableColumn id="2" name="Date Prévue" dataDxfId="5"/>
    <tableColumn id="3" name="Date Effective" dataDxfId="4"/>
    <tableColumn id="4" name="Fait par" dataDxfId="3"/>
    <tableColumn id="5" name="Canal / Support" dataDxfId="2"/>
    <tableColumn id="6" name="Statut / Résultat" dataDxfId="1"/>
    <tableColumn id="7" name="Remarqu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9" sqref="E9"/>
    </sheetView>
  </sheetViews>
  <sheetFormatPr baseColWidth="10" defaultColWidth="10" defaultRowHeight="15" x14ac:dyDescent="0.25"/>
  <cols>
    <col min="1" max="1" width="16" style="1" customWidth="1"/>
    <col min="2" max="2" width="45" style="1" customWidth="1"/>
    <col min="3" max="3" width="25" style="1" customWidth="1"/>
    <col min="4" max="4" width="32" style="1" customWidth="1"/>
    <col min="5" max="5" width="18" style="1" customWidth="1"/>
    <col min="6" max="6" width="16.28515625" style="1" customWidth="1"/>
    <col min="7" max="7" width="20" style="1" customWidth="1"/>
    <col min="8" max="16384" width="10" style="1"/>
  </cols>
  <sheetData>
    <row r="1" spans="1:11" ht="39.950000000000003" customHeight="1" x14ac:dyDescent="0.25">
      <c r="A1" s="44" t="s">
        <v>0</v>
      </c>
      <c r="B1" s="45"/>
      <c r="C1" s="45"/>
      <c r="D1" s="45"/>
      <c r="E1" s="45"/>
      <c r="F1" s="45"/>
      <c r="G1" s="45"/>
    </row>
    <row r="3" spans="1:11" ht="18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11" ht="24.95" customHeight="1" x14ac:dyDescent="0.25">
      <c r="A4" s="3">
        <f>COUNTA(A7:A13)</f>
        <v>4</v>
      </c>
      <c r="B4" s="3">
        <f>COUNTIF(E7:E13,"Acceptation avec corrections")</f>
        <v>1</v>
      </c>
      <c r="C4" s="3">
        <f>COUNTIF(E7:E13,"Révision majeure")</f>
        <v>1</v>
      </c>
      <c r="D4" s="3">
        <f>COUNTIF(E7:E13,"Acceptation")+COUNTIF(E7:E13,"Publié")</f>
        <v>1</v>
      </c>
      <c r="E4" s="3">
        <f>COUNTIF(E7:E13,"Rejet")</f>
        <v>1</v>
      </c>
    </row>
    <row r="6" spans="1:11" ht="21.95" customHeight="1" x14ac:dyDescent="0.25">
      <c r="A6" s="37" t="s">
        <v>6</v>
      </c>
      <c r="B6" s="37" t="s">
        <v>7</v>
      </c>
      <c r="C6" s="37" t="s">
        <v>8</v>
      </c>
      <c r="D6" s="37" t="s">
        <v>9</v>
      </c>
      <c r="E6" s="37" t="s">
        <v>10</v>
      </c>
      <c r="F6" s="37" t="s">
        <v>11</v>
      </c>
      <c r="G6" s="37" t="s">
        <v>12</v>
      </c>
      <c r="H6" s="42" t="s">
        <v>109</v>
      </c>
      <c r="I6" s="42" t="s">
        <v>41</v>
      </c>
      <c r="J6" s="42" t="s">
        <v>110</v>
      </c>
      <c r="K6" s="42" t="s">
        <v>112</v>
      </c>
    </row>
    <row r="7" spans="1:11" ht="20.100000000000001" customHeight="1" x14ac:dyDescent="0.2">
      <c r="A7" s="4" t="str">
        <f>IF(B7&lt;&gt;"", "REV-2026-" &amp; TEXT(ROWS($A$7:A7),"000"),"")</f>
        <v>REV-2026-001</v>
      </c>
      <c r="B7" s="5" t="s">
        <v>13</v>
      </c>
      <c r="C7" s="5" t="s">
        <v>14</v>
      </c>
      <c r="D7" s="5" t="s">
        <v>15</v>
      </c>
      <c r="E7" s="4" t="s">
        <v>115</v>
      </c>
      <c r="F7" s="6" t="s">
        <v>16</v>
      </c>
      <c r="G7" s="17" t="str">
        <f>HYPERLINK("#'"&amp;A7&amp;"'!A1","Accéder à la fiche →")</f>
        <v>Accéder à la fiche →</v>
      </c>
      <c r="H7" s="43"/>
      <c r="I7" s="43"/>
      <c r="J7" s="43"/>
      <c r="K7" s="43"/>
    </row>
    <row r="8" spans="1:11" ht="20.100000000000001" customHeight="1" x14ac:dyDescent="0.2">
      <c r="A8" s="4" t="str">
        <f>IF(B8&lt;&gt;"", "REV-2026-" &amp; TEXT(ROWS($A$7:A8),"000"),"")</f>
        <v>REV-2026-002</v>
      </c>
      <c r="B8" s="5" t="s">
        <v>17</v>
      </c>
      <c r="C8" s="5" t="s">
        <v>18</v>
      </c>
      <c r="D8" s="5" t="s">
        <v>19</v>
      </c>
      <c r="E8" s="4" t="s">
        <v>114</v>
      </c>
      <c r="F8" s="6" t="s">
        <v>20</v>
      </c>
      <c r="G8" s="17" t="str">
        <f t="shared" ref="G8:G10" si="0">HYPERLINK("#'"&amp;A8&amp;"'!A1","Accéder à la fiche →")</f>
        <v>Accéder à la fiche →</v>
      </c>
      <c r="H8" s="17"/>
      <c r="I8" s="17"/>
      <c r="J8" s="17"/>
      <c r="K8" s="17"/>
    </row>
    <row r="9" spans="1:11" ht="20.100000000000001" customHeight="1" x14ac:dyDescent="0.2">
      <c r="A9" s="4" t="str">
        <f>IF(B9&lt;&gt;"", "REV-2026-" &amp; TEXT(ROWS($A$7:A9),"000"),"")</f>
        <v>REV-2026-003</v>
      </c>
      <c r="B9" s="5" t="s">
        <v>21</v>
      </c>
      <c r="C9" s="5" t="s">
        <v>22</v>
      </c>
      <c r="D9" s="5" t="s">
        <v>23</v>
      </c>
      <c r="E9" s="4" t="s">
        <v>113</v>
      </c>
      <c r="F9" s="6" t="s">
        <v>24</v>
      </c>
      <c r="G9" s="17" t="str">
        <f t="shared" si="0"/>
        <v>Accéder à la fiche →</v>
      </c>
      <c r="H9" s="17"/>
      <c r="I9" s="17"/>
      <c r="J9" s="17"/>
      <c r="K9" s="17"/>
    </row>
    <row r="10" spans="1:11" ht="20.100000000000001" customHeight="1" x14ac:dyDescent="0.2">
      <c r="A10" s="4" t="str">
        <f>IF(B10&lt;&gt;"", "REV-2026-" &amp; TEXT(ROWS($A$7:A10),"000"),"")</f>
        <v>REV-2026-004</v>
      </c>
      <c r="B10" s="5" t="s">
        <v>25</v>
      </c>
      <c r="C10" s="5" t="s">
        <v>26</v>
      </c>
      <c r="D10" s="5" t="s">
        <v>27</v>
      </c>
      <c r="E10" s="4" t="s">
        <v>108</v>
      </c>
      <c r="F10" s="6" t="s">
        <v>28</v>
      </c>
      <c r="G10" s="17" t="str">
        <f t="shared" si="0"/>
        <v>Accéder à la fiche →</v>
      </c>
      <c r="H10" s="17"/>
      <c r="I10" s="17"/>
      <c r="J10" s="17"/>
      <c r="K10" s="17"/>
    </row>
    <row r="11" spans="1:11" ht="20.100000000000001" customHeight="1" x14ac:dyDescent="0.25"/>
  </sheetData>
  <mergeCells count="1">
    <mergeCell ref="A1:G1"/>
  </mergeCells>
  <dataValidations count="3">
    <dataValidation type="list" allowBlank="1" showInputMessage="1" showErrorMessage="1" sqref="D7:D10">
      <mc:AlternateContent xmlns:x12ac="http://schemas.microsoft.com/office/spreadsheetml/2011/1/ac" xmlns:mc="http://schemas.openxmlformats.org/markup-compatibility/2006">
        <mc:Choice Requires="x12ac">
          <x12ac:list>Recherche scientifique appliquée,Innovation et tech," Gouvernance,droit et politiques publiques",Dev durable,Economie et entrepreneuriat,transformation digitale,Education et sciences sociales,santé et envi,infrastructures et dev,médias</x12ac:list>
        </mc:Choice>
        <mc:Fallback>
          <formula1>"Recherche scientifique appliquée,Innovation et tech, Gouvernance,droit et politiques publiques,Dev durable,Economie et entrepreneuriat,transformation digitale,Education et sciences sociales,santé et envi,infrastructures et dev,médias"</formula1>
        </mc:Fallback>
      </mc:AlternateContent>
    </dataValidation>
    <dataValidation type="list" allowBlank="1" showInputMessage="1" showErrorMessage="1" sqref="E7:E10">
      <formula1>"Acceptation,Acceptation avec corrections,Révision majeure,Rejet"</formula1>
    </dataValidation>
    <dataValidation type="list" allowBlank="1" showInputMessage="1" showErrorMessage="1" sqref="I7:K10">
      <formula1>"Oui,Non"</formula1>
    </dataValidation>
  </dataValidations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workbookViewId="0">
      <selection sqref="A1:G1"/>
    </sheetView>
  </sheetViews>
  <sheetFormatPr baseColWidth="10" defaultColWidth="10" defaultRowHeight="15" x14ac:dyDescent="0.25"/>
  <cols>
    <col min="1" max="1" width="22" style="1" customWidth="1"/>
    <col min="2" max="2" width="16" style="1" customWidth="1"/>
    <col min="3" max="3" width="17.7109375" style="1" customWidth="1"/>
    <col min="4" max="4" width="29" style="1" customWidth="1"/>
    <col min="5" max="5" width="20" style="1" customWidth="1"/>
    <col min="6" max="6" width="18.42578125" style="1" customWidth="1"/>
    <col min="7" max="7" width="30" style="1" customWidth="1"/>
    <col min="8" max="16384" width="10" style="1"/>
  </cols>
  <sheetData>
    <row r="1" spans="1:7" ht="35.1" customHeight="1" x14ac:dyDescent="0.25">
      <c r="A1" s="60" t="s">
        <v>29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7" t="s">
        <v>30</v>
      </c>
      <c r="B2" s="57" t="str">
        <f ca="1">IFERROR(MID(CELL("nomfichier",A1), FIND("]",CELL("nomfichier",A1))+1,31),"")</f>
        <v>MODELE_ARTICLE</v>
      </c>
      <c r="C2" s="58"/>
      <c r="D2" s="7" t="s">
        <v>31</v>
      </c>
      <c r="E2" s="8" t="str">
        <f ca="1">IFERROR(VLOOKUP(B2,'TABLEAU DE BORD'!A:G,5,FALSE),"")</f>
        <v/>
      </c>
      <c r="F2" s="9"/>
      <c r="G2" s="18" t="str">
        <f>HYPERLINK("#'TABLEAU DE BORD'!A1", "🏠 Retour au Tableau de Bord")</f>
        <v>🏠 Retour au Tableau de Bord</v>
      </c>
    </row>
    <row r="3" spans="1:7" ht="20.100000000000001" customHeight="1" x14ac:dyDescent="0.25">
      <c r="A3" s="7" t="s">
        <v>32</v>
      </c>
      <c r="B3" s="57" t="str">
        <f ca="1">IFERROR(VLOOKUP(B2,'TABLEAU DE BORD'!A:G,2,FALSE),"")</f>
        <v/>
      </c>
      <c r="C3" s="58"/>
      <c r="D3" s="7"/>
      <c r="E3" s="57"/>
      <c r="F3" s="58"/>
      <c r="G3" s="58"/>
    </row>
    <row r="4" spans="1:7" ht="20.100000000000001" customHeight="1" x14ac:dyDescent="0.25">
      <c r="A4" s="7" t="s">
        <v>33</v>
      </c>
      <c r="B4" s="57" t="str">
        <f ca="1">IFERROR(VLOOKUP(B2,'TABLEAU DE BORD'!A:G,3,FALSE),"")</f>
        <v/>
      </c>
      <c r="C4" s="58"/>
      <c r="D4" s="7" t="s">
        <v>34</v>
      </c>
      <c r="E4" s="57" t="str">
        <f ca="1">IFERROR(VLOOKUP(B2,'TABLEAU DE BORD'!A:G,10,FALSE),"")</f>
        <v/>
      </c>
      <c r="F4" s="58"/>
      <c r="G4" s="58"/>
    </row>
    <row r="5" spans="1:7" ht="20.100000000000001" customHeight="1" x14ac:dyDescent="0.25">
      <c r="A5" s="7" t="s">
        <v>35</v>
      </c>
      <c r="B5" s="57" t="str">
        <f ca="1">IFERROR(VLOOKUP(B2,'TABLEAU DE BORD'!A:G,9,FALSE),"")</f>
        <v/>
      </c>
      <c r="C5" s="58"/>
      <c r="D5" s="7" t="s">
        <v>36</v>
      </c>
      <c r="E5" s="57" t="str">
        <f ca="1">IFERROR(VLOOKUP(B2,'TABLEAU DE BORD'!A:G,8,FALSE),"")</f>
        <v/>
      </c>
      <c r="F5" s="58"/>
      <c r="G5" s="58"/>
    </row>
    <row r="6" spans="1:7" ht="20.100000000000001" customHeight="1" x14ac:dyDescent="0.25">
      <c r="A6" s="7" t="s">
        <v>37</v>
      </c>
      <c r="B6" s="57" t="str">
        <f ca="1">IFERROR(VLOOKUP(B2,'TABLEAU DE BORD'!A:G,4,FALSE),"")</f>
        <v/>
      </c>
      <c r="C6" s="58"/>
      <c r="D6" s="7" t="s">
        <v>111</v>
      </c>
      <c r="E6" s="57" t="str">
        <f ca="1">IFERROR(VLOOKUP(B2,'TABLEAU DE BORD'!A:G,11,FALSE),"")</f>
        <v/>
      </c>
      <c r="F6" s="58"/>
      <c r="G6" s="58"/>
    </row>
    <row r="8" spans="1:7" ht="21.95" customHeight="1" x14ac:dyDescent="0.25">
      <c r="A8" s="59" t="s">
        <v>38</v>
      </c>
      <c r="B8" s="45"/>
      <c r="C8" s="45"/>
      <c r="D8" s="45"/>
      <c r="E8" s="45"/>
      <c r="F8" s="45"/>
      <c r="G8" s="45"/>
    </row>
    <row r="9" spans="1:7" ht="20.100000000000001" customHeight="1" x14ac:dyDescent="0.25">
      <c r="A9" s="10" t="s">
        <v>39</v>
      </c>
      <c r="B9" s="10" t="s">
        <v>40</v>
      </c>
      <c r="C9" s="10" t="s">
        <v>41</v>
      </c>
      <c r="D9" s="10" t="s">
        <v>42</v>
      </c>
      <c r="E9" s="10" t="s">
        <v>105</v>
      </c>
      <c r="F9" s="10" t="s">
        <v>43</v>
      </c>
      <c r="G9" s="10" t="s">
        <v>44</v>
      </c>
    </row>
    <row r="10" spans="1:7" ht="18" customHeight="1" x14ac:dyDescent="0.2">
      <c r="A10" s="11">
        <v>1</v>
      </c>
      <c r="B10" s="8"/>
      <c r="C10" s="8"/>
      <c r="D10" s="8"/>
      <c r="E10" s="8"/>
      <c r="F10" s="11" t="s">
        <v>45</v>
      </c>
      <c r="G10" s="8"/>
    </row>
    <row r="11" spans="1:7" ht="18" customHeight="1" x14ac:dyDescent="0.2">
      <c r="A11" s="11">
        <v>2</v>
      </c>
      <c r="B11" s="8"/>
      <c r="C11" s="8"/>
      <c r="D11" s="8"/>
      <c r="E11" s="8"/>
      <c r="F11" s="11" t="s">
        <v>45</v>
      </c>
      <c r="G11" s="8"/>
    </row>
    <row r="12" spans="1:7" ht="18" customHeight="1" x14ac:dyDescent="0.2">
      <c r="A12" s="11">
        <v>3</v>
      </c>
      <c r="B12" s="8"/>
      <c r="C12" s="8"/>
      <c r="D12" s="8"/>
      <c r="E12" s="8"/>
      <c r="F12" s="11" t="s">
        <v>45</v>
      </c>
      <c r="G12" s="8"/>
    </row>
    <row r="13" spans="1:7" ht="18" customHeight="1" x14ac:dyDescent="0.2">
      <c r="A13" s="11">
        <v>4</v>
      </c>
      <c r="B13" s="8"/>
      <c r="C13" s="8"/>
      <c r="D13" s="8"/>
      <c r="E13" s="8"/>
      <c r="F13" s="11" t="s">
        <v>45</v>
      </c>
      <c r="G13" s="8"/>
    </row>
    <row r="15" spans="1:7" ht="21.95" customHeight="1" x14ac:dyDescent="0.25">
      <c r="A15" s="46" t="s">
        <v>46</v>
      </c>
      <c r="B15" s="47"/>
      <c r="C15" s="47"/>
      <c r="D15" s="47"/>
      <c r="E15" s="47"/>
      <c r="F15" s="47"/>
      <c r="G15" s="47"/>
    </row>
    <row r="16" spans="1:7" ht="20.100000000000001" customHeight="1" x14ac:dyDescent="0.25">
      <c r="A16" s="30" t="s">
        <v>47</v>
      </c>
      <c r="B16" s="25" t="s">
        <v>48</v>
      </c>
      <c r="C16" s="25" t="s">
        <v>49</v>
      </c>
      <c r="D16" s="25" t="s">
        <v>50</v>
      </c>
      <c r="E16" s="25" t="s">
        <v>51</v>
      </c>
      <c r="F16" s="25" t="s">
        <v>52</v>
      </c>
      <c r="G16" s="31" t="s">
        <v>53</v>
      </c>
    </row>
    <row r="17" spans="1:7" ht="18" customHeight="1" x14ac:dyDescent="0.2">
      <c r="A17" s="26" t="s">
        <v>54</v>
      </c>
      <c r="B17" s="13"/>
      <c r="C17" s="13"/>
      <c r="D17" s="14" t="str">
        <f t="shared" ref="D17:D27" si="0">IF(ISBLANK(C17),"",C17-B17)</f>
        <v/>
      </c>
      <c r="E17" s="12" t="s">
        <v>55</v>
      </c>
      <c r="F17" s="13" t="s">
        <v>56</v>
      </c>
      <c r="G17" s="28"/>
    </row>
    <row r="18" spans="1:7" ht="18" customHeight="1" x14ac:dyDescent="0.2">
      <c r="A18" s="27" t="s">
        <v>57</v>
      </c>
      <c r="B18" s="11"/>
      <c r="C18" s="11"/>
      <c r="D18" s="15" t="str">
        <f t="shared" si="0"/>
        <v/>
      </c>
      <c r="E18" s="8" t="s">
        <v>58</v>
      </c>
      <c r="F18" s="11" t="s">
        <v>56</v>
      </c>
      <c r="G18" s="29"/>
    </row>
    <row r="19" spans="1:7" ht="18" customHeight="1" x14ac:dyDescent="0.2">
      <c r="A19" s="26" t="s">
        <v>59</v>
      </c>
      <c r="B19" s="13"/>
      <c r="C19" s="13"/>
      <c r="D19" s="14" t="str">
        <f t="shared" si="0"/>
        <v/>
      </c>
      <c r="E19" s="12" t="s">
        <v>60</v>
      </c>
      <c r="F19" s="13" t="s">
        <v>56</v>
      </c>
      <c r="G19" s="28"/>
    </row>
    <row r="20" spans="1:7" ht="18" customHeight="1" x14ac:dyDescent="0.2">
      <c r="A20" s="27" t="s">
        <v>61</v>
      </c>
      <c r="B20" s="11"/>
      <c r="C20" s="11"/>
      <c r="D20" s="15" t="str">
        <f t="shared" si="0"/>
        <v/>
      </c>
      <c r="E20" s="8" t="s">
        <v>62</v>
      </c>
      <c r="F20" s="11" t="s">
        <v>56</v>
      </c>
      <c r="G20" s="29"/>
    </row>
    <row r="21" spans="1:7" ht="18" customHeight="1" x14ac:dyDescent="0.2">
      <c r="A21" s="26" t="s">
        <v>63</v>
      </c>
      <c r="B21" s="13"/>
      <c r="C21" s="13"/>
      <c r="D21" s="14" t="str">
        <f t="shared" si="0"/>
        <v/>
      </c>
      <c r="E21" s="12" t="s">
        <v>64</v>
      </c>
      <c r="F21" s="13" t="s">
        <v>56</v>
      </c>
      <c r="G21" s="28"/>
    </row>
    <row r="22" spans="1:7" ht="18" customHeight="1" x14ac:dyDescent="0.2">
      <c r="A22" s="27" t="s">
        <v>65</v>
      </c>
      <c r="B22" s="11"/>
      <c r="C22" s="11"/>
      <c r="D22" s="15" t="str">
        <f t="shared" si="0"/>
        <v/>
      </c>
      <c r="E22" s="8" t="s">
        <v>58</v>
      </c>
      <c r="F22" s="11" t="s">
        <v>56</v>
      </c>
      <c r="G22" s="29"/>
    </row>
    <row r="23" spans="1:7" ht="18" customHeight="1" x14ac:dyDescent="0.2">
      <c r="A23" s="26" t="s">
        <v>66</v>
      </c>
      <c r="B23" s="13"/>
      <c r="C23" s="13"/>
      <c r="D23" s="14" t="str">
        <f t="shared" si="0"/>
        <v/>
      </c>
      <c r="E23" s="12" t="s">
        <v>67</v>
      </c>
      <c r="F23" s="13" t="s">
        <v>56</v>
      </c>
      <c r="G23" s="28"/>
    </row>
    <row r="24" spans="1:7" ht="18" customHeight="1" x14ac:dyDescent="0.2">
      <c r="A24" s="27" t="s">
        <v>68</v>
      </c>
      <c r="B24" s="11"/>
      <c r="C24" s="11"/>
      <c r="D24" s="15" t="str">
        <f t="shared" si="0"/>
        <v/>
      </c>
      <c r="E24" s="8" t="s">
        <v>60</v>
      </c>
      <c r="F24" s="11" t="s">
        <v>56</v>
      </c>
      <c r="G24" s="29"/>
    </row>
    <row r="25" spans="1:7" ht="18" customHeight="1" x14ac:dyDescent="0.2">
      <c r="A25" s="26" t="s">
        <v>69</v>
      </c>
      <c r="B25" s="13"/>
      <c r="C25" s="13"/>
      <c r="D25" s="14" t="str">
        <f t="shared" si="0"/>
        <v/>
      </c>
      <c r="E25" s="12" t="s">
        <v>55</v>
      </c>
      <c r="F25" s="13" t="s">
        <v>56</v>
      </c>
      <c r="G25" s="28"/>
    </row>
    <row r="26" spans="1:7" ht="18" customHeight="1" x14ac:dyDescent="0.2">
      <c r="A26" s="27" t="s">
        <v>70</v>
      </c>
      <c r="B26" s="11"/>
      <c r="C26" s="11"/>
      <c r="D26" s="15" t="str">
        <f t="shared" si="0"/>
        <v/>
      </c>
      <c r="E26" s="8" t="s">
        <v>67</v>
      </c>
      <c r="F26" s="11" t="s">
        <v>56</v>
      </c>
      <c r="G26" s="29"/>
    </row>
    <row r="27" spans="1:7" ht="18" customHeight="1" x14ac:dyDescent="0.2">
      <c r="A27" s="32" t="s">
        <v>71</v>
      </c>
      <c r="B27" s="23"/>
      <c r="C27" s="23"/>
      <c r="D27" s="24" t="str">
        <f t="shared" si="0"/>
        <v/>
      </c>
      <c r="E27" s="22" t="s">
        <v>60</v>
      </c>
      <c r="F27" s="23" t="s">
        <v>56</v>
      </c>
      <c r="G27" s="33"/>
    </row>
    <row r="29" spans="1:7" ht="21.95" customHeight="1" x14ac:dyDescent="0.25">
      <c r="A29" s="59" t="s">
        <v>72</v>
      </c>
      <c r="B29" s="45"/>
      <c r="C29" s="45"/>
      <c r="D29" s="45"/>
      <c r="E29" s="45"/>
      <c r="F29" s="45"/>
      <c r="G29" s="45"/>
    </row>
    <row r="30" spans="1:7" ht="20.100000000000001" customHeight="1" x14ac:dyDescent="0.25">
      <c r="A30" s="10" t="s">
        <v>73</v>
      </c>
      <c r="B30" s="10" t="s">
        <v>74</v>
      </c>
      <c r="C30" s="10" t="s">
        <v>75</v>
      </c>
      <c r="D30" s="31" t="s">
        <v>76</v>
      </c>
      <c r="E30" s="34" t="s">
        <v>106</v>
      </c>
      <c r="F30" s="31" t="s">
        <v>77</v>
      </c>
      <c r="G30" s="35" t="s">
        <v>107</v>
      </c>
    </row>
    <row r="31" spans="1:7" ht="18" customHeight="1" x14ac:dyDescent="0.25">
      <c r="A31" s="8" t="s">
        <v>78</v>
      </c>
      <c r="B31" s="16" t="s">
        <v>45</v>
      </c>
      <c r="C31" s="16"/>
      <c r="D31" s="29"/>
      <c r="E31" s="36"/>
      <c r="F31" s="29" t="s">
        <v>79</v>
      </c>
      <c r="G31" s="36"/>
    </row>
    <row r="32" spans="1:7" ht="18" customHeight="1" x14ac:dyDescent="0.25">
      <c r="A32" s="8" t="s">
        <v>80</v>
      </c>
      <c r="B32" s="16" t="s">
        <v>45</v>
      </c>
      <c r="C32" s="16"/>
      <c r="D32" s="29"/>
      <c r="E32" s="36"/>
      <c r="F32" s="29" t="s">
        <v>81</v>
      </c>
      <c r="G32" s="36"/>
    </row>
    <row r="33" spans="1:7" ht="18" customHeight="1" x14ac:dyDescent="0.25">
      <c r="A33" s="8" t="s">
        <v>82</v>
      </c>
      <c r="B33" s="16" t="s">
        <v>45</v>
      </c>
      <c r="C33" s="16"/>
      <c r="D33" s="29"/>
      <c r="E33" s="36"/>
      <c r="F33" s="29" t="s">
        <v>83</v>
      </c>
      <c r="G33" s="36"/>
    </row>
    <row r="34" spans="1:7" ht="18" customHeight="1" x14ac:dyDescent="0.25">
      <c r="A34" s="8" t="s">
        <v>84</v>
      </c>
      <c r="B34" s="16" t="s">
        <v>45</v>
      </c>
      <c r="C34" s="16"/>
      <c r="D34" s="29"/>
      <c r="E34" s="36"/>
      <c r="F34" s="29" t="s">
        <v>85</v>
      </c>
      <c r="G34" s="36"/>
    </row>
    <row r="35" spans="1:7" ht="18" customHeight="1" x14ac:dyDescent="0.25">
      <c r="A35" s="8" t="s">
        <v>86</v>
      </c>
      <c r="B35" s="16" t="s">
        <v>45</v>
      </c>
      <c r="C35" s="16"/>
      <c r="D35" s="29"/>
      <c r="E35" s="36"/>
      <c r="F35" s="29" t="s">
        <v>87</v>
      </c>
      <c r="G35" s="36"/>
    </row>
    <row r="36" spans="1:7" ht="18" customHeight="1" x14ac:dyDescent="0.25">
      <c r="A36" s="8" t="s">
        <v>88</v>
      </c>
      <c r="B36" s="16" t="s">
        <v>45</v>
      </c>
      <c r="C36" s="16"/>
      <c r="D36" s="29"/>
      <c r="E36" s="36"/>
      <c r="F36" s="29" t="s">
        <v>89</v>
      </c>
      <c r="G36" s="36"/>
    </row>
    <row r="39" spans="1:7" ht="21.95" customHeight="1" x14ac:dyDescent="0.25">
      <c r="A39" s="46" t="s">
        <v>90</v>
      </c>
      <c r="B39" s="47"/>
      <c r="C39" s="47"/>
      <c r="D39" s="47"/>
      <c r="E39" s="47"/>
      <c r="F39" s="47"/>
      <c r="G39" s="47"/>
    </row>
    <row r="40" spans="1:7" ht="20.100000000000001" customHeight="1" x14ac:dyDescent="0.25">
      <c r="A40" s="30" t="s">
        <v>91</v>
      </c>
      <c r="B40" s="25" t="s">
        <v>48</v>
      </c>
      <c r="C40" s="25" t="s">
        <v>92</v>
      </c>
      <c r="D40" s="25" t="s">
        <v>93</v>
      </c>
      <c r="E40" s="25" t="s">
        <v>94</v>
      </c>
      <c r="F40" s="25" t="s">
        <v>95</v>
      </c>
      <c r="G40" s="31" t="s">
        <v>96</v>
      </c>
    </row>
    <row r="41" spans="1:7" ht="18" customHeight="1" x14ac:dyDescent="0.2">
      <c r="A41" s="27" t="s">
        <v>97</v>
      </c>
      <c r="B41" s="16"/>
      <c r="C41" s="16"/>
      <c r="D41" s="8" t="s">
        <v>55</v>
      </c>
      <c r="E41" s="8" t="s">
        <v>42</v>
      </c>
      <c r="F41" s="16" t="s">
        <v>56</v>
      </c>
      <c r="G41" s="29"/>
    </row>
    <row r="42" spans="1:7" ht="18" customHeight="1" x14ac:dyDescent="0.2">
      <c r="A42" s="27" t="s">
        <v>98</v>
      </c>
      <c r="B42" s="16"/>
      <c r="C42" s="16"/>
      <c r="D42" s="8" t="s">
        <v>55</v>
      </c>
      <c r="E42" s="8" t="s">
        <v>42</v>
      </c>
      <c r="F42" s="16" t="s">
        <v>56</v>
      </c>
      <c r="G42" s="29" t="s">
        <v>99</v>
      </c>
    </row>
    <row r="43" spans="1:7" ht="18" customHeight="1" x14ac:dyDescent="0.2">
      <c r="A43" s="27" t="s">
        <v>100</v>
      </c>
      <c r="B43" s="16"/>
      <c r="C43" s="16"/>
      <c r="D43" s="8" t="s">
        <v>55</v>
      </c>
      <c r="E43" s="8" t="s">
        <v>42</v>
      </c>
      <c r="F43" s="16" t="s">
        <v>56</v>
      </c>
      <c r="G43" s="29" t="s">
        <v>99</v>
      </c>
    </row>
    <row r="44" spans="1:7" ht="18" customHeight="1" x14ac:dyDescent="0.2">
      <c r="A44" s="38" t="s">
        <v>101</v>
      </c>
      <c r="B44" s="39"/>
      <c r="C44" s="39"/>
      <c r="D44" s="40" t="s">
        <v>102</v>
      </c>
      <c r="E44" s="40" t="s">
        <v>42</v>
      </c>
      <c r="F44" s="39" t="s">
        <v>56</v>
      </c>
      <c r="G44" s="41"/>
    </row>
    <row r="47" spans="1:7" ht="21.95" customHeight="1" x14ac:dyDescent="0.25">
      <c r="A47" s="46" t="s">
        <v>103</v>
      </c>
      <c r="B47" s="47"/>
      <c r="C47" s="47"/>
      <c r="D47" s="47"/>
      <c r="E47" s="47"/>
      <c r="F47" s="47"/>
      <c r="G47" s="47"/>
    </row>
    <row r="48" spans="1:7" x14ac:dyDescent="0.25">
      <c r="A48" s="48" t="s">
        <v>104</v>
      </c>
      <c r="B48" s="49"/>
      <c r="C48" s="49"/>
      <c r="D48" s="49"/>
      <c r="E48" s="49"/>
      <c r="F48" s="49"/>
      <c r="G48" s="50"/>
    </row>
    <row r="49" spans="1:7" x14ac:dyDescent="0.25">
      <c r="A49" s="51"/>
      <c r="B49" s="52"/>
      <c r="C49" s="52"/>
      <c r="D49" s="52"/>
      <c r="E49" s="52"/>
      <c r="F49" s="52"/>
      <c r="G49" s="53"/>
    </row>
    <row r="50" spans="1:7" x14ac:dyDescent="0.25">
      <c r="A50" s="51"/>
      <c r="B50" s="52"/>
      <c r="C50" s="52"/>
      <c r="D50" s="52"/>
      <c r="E50" s="52"/>
      <c r="F50" s="52"/>
      <c r="G50" s="53"/>
    </row>
    <row r="51" spans="1:7" x14ac:dyDescent="0.25">
      <c r="A51" s="51"/>
      <c r="B51" s="52"/>
      <c r="C51" s="52"/>
      <c r="D51" s="52"/>
      <c r="E51" s="52"/>
      <c r="F51" s="52"/>
      <c r="G51" s="53"/>
    </row>
    <row r="52" spans="1:7" x14ac:dyDescent="0.25">
      <c r="A52" s="54"/>
      <c r="B52" s="55"/>
      <c r="C52" s="55"/>
      <c r="D52" s="55"/>
      <c r="E52" s="55"/>
      <c r="F52" s="55"/>
      <c r="G52" s="56"/>
    </row>
  </sheetData>
  <mergeCells count="16">
    <mergeCell ref="A1:G1"/>
    <mergeCell ref="E3:G3"/>
    <mergeCell ref="E4:G4"/>
    <mergeCell ref="B3:C3"/>
    <mergeCell ref="B6:C6"/>
    <mergeCell ref="B4:C4"/>
    <mergeCell ref="A39:G39"/>
    <mergeCell ref="A15:G15"/>
    <mergeCell ref="A48:G52"/>
    <mergeCell ref="B2:C2"/>
    <mergeCell ref="E5:G5"/>
    <mergeCell ref="A47:G47"/>
    <mergeCell ref="B5:C5"/>
    <mergeCell ref="A8:G8"/>
    <mergeCell ref="A29:G29"/>
    <mergeCell ref="E6:G6"/>
  </mergeCells>
  <dataValidations count="6">
    <dataValidation type="list" allowBlank="1" sqref="E2">
      <formula1>"Nouveau, En relecture, Révision, Accepté, Publié, Rejeté"</formula1>
    </dataValidation>
    <dataValidation type="list" allowBlank="1" showInputMessage="1" showErrorMessage="1" sqref="F16 F17:F27 F41:F44">
      <formula1>"Fait,En attente"</formula1>
    </dataValidation>
    <dataValidation type="list" allowBlank="1" showInputMessage="1" showErrorMessage="1" sqref="E17:E27">
      <formula1>"Secrétariat,Rédacteur en chef,Comité éditorial,Relecteur ,Relecteur 2,Auteur correspondant"</formula1>
    </dataValidation>
    <dataValidation type="list" allowBlank="1" showInputMessage="1" showErrorMessage="1" sqref="B31:B37">
      <formula1>"Oui,Non"</formula1>
    </dataValidation>
    <dataValidation type="list" allowBlank="1" showInputMessage="1" showErrorMessage="1" sqref="D41:D44">
      <formula1>"Secrétariat,Rédacteur en chef"</formula1>
    </dataValidation>
    <dataValidation type="list" allowBlank="1" showInputMessage="1" showErrorMessage="1" sqref="E41:E44">
      <formula1>"Email,Téléphone,Whatsapp"</formula1>
    </dataValidation>
  </dataValidations>
  <pageMargins left="0.7" right="0.7" top="0.75" bottom="0.75" header="0.3" footer="0.3"/>
  <pageSetup paperSize="9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26" workbookViewId="0">
      <selection activeCell="A46" sqref="A46"/>
    </sheetView>
  </sheetViews>
  <sheetFormatPr baseColWidth="10" defaultColWidth="10" defaultRowHeight="15" x14ac:dyDescent="0.25"/>
  <cols>
    <col min="1" max="1" width="22" style="19" customWidth="1"/>
    <col min="2" max="2" width="16" style="19" customWidth="1"/>
    <col min="3" max="3" width="17.7109375" style="19" customWidth="1"/>
    <col min="4" max="4" width="29" style="19" customWidth="1"/>
    <col min="5" max="5" width="20" style="19" customWidth="1"/>
    <col min="6" max="6" width="18.42578125" style="19" customWidth="1"/>
    <col min="7" max="7" width="30" style="19" customWidth="1"/>
    <col min="8" max="16384" width="10" style="19"/>
  </cols>
  <sheetData>
    <row r="1" spans="1:7" ht="35.1" customHeight="1" x14ac:dyDescent="0.25">
      <c r="A1" s="60" t="s">
        <v>29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7" t="s">
        <v>30</v>
      </c>
      <c r="B2" s="57" t="str">
        <f ca="1">IFERROR(MID(CELL("nomfichier",A1), FIND("]",CELL("nomfichier",A1))+1,31),"")</f>
        <v>REV-2026-001</v>
      </c>
      <c r="C2" s="58"/>
      <c r="D2" s="7" t="s">
        <v>31</v>
      </c>
      <c r="E2" s="21" t="str">
        <f ca="1">IFERROR(VLOOKUP(B2,'TABLEAU DE BORD'!A:G,5,FALSE),"")</f>
        <v>Rejet</v>
      </c>
      <c r="F2" s="20"/>
      <c r="G2" s="18" t="str">
        <f>HYPERLINK("#'TABLEAU DE BORD'!A1", "🏠 Retour au Tableau de Bord")</f>
        <v>🏠 Retour au Tableau de Bord</v>
      </c>
    </row>
    <row r="3" spans="1:7" ht="20.100000000000001" customHeight="1" x14ac:dyDescent="0.25">
      <c r="A3" s="7" t="s">
        <v>32</v>
      </c>
      <c r="B3" s="57" t="str">
        <f ca="1">IFERROR(VLOOKUP(B2,'TABLEAU DE BORD'!A:G,2,FALSE),"")</f>
        <v>Étude sur l'impact des technologies émergentes en Afrique Central</v>
      </c>
      <c r="C3" s="58"/>
      <c r="D3" s="7"/>
      <c r="E3" s="57"/>
      <c r="F3" s="58"/>
      <c r="G3" s="58"/>
    </row>
    <row r="4" spans="1:7" ht="20.100000000000001" customHeight="1" x14ac:dyDescent="0.25">
      <c r="A4" s="7" t="s">
        <v>33</v>
      </c>
      <c r="B4" s="57" t="str">
        <f ca="1">IFERROR(VLOOKUP(B2,'TABLEAU DE BORD'!A:G,3,FALSE),"")</f>
        <v>Dr. Alain Dupont</v>
      </c>
      <c r="C4" s="58"/>
      <c r="D4" s="7" t="s">
        <v>34</v>
      </c>
      <c r="E4" s="57" t="str">
        <f ca="1">IFERROR(VLOOKUP(B2,'TABLEAU DE BORD'!A:G,10,FALSE),"")</f>
        <v/>
      </c>
      <c r="F4" s="58"/>
      <c r="G4" s="58"/>
    </row>
    <row r="5" spans="1:7" ht="20.100000000000001" customHeight="1" x14ac:dyDescent="0.25">
      <c r="A5" s="7" t="s">
        <v>35</v>
      </c>
      <c r="B5" s="57" t="str">
        <f ca="1">IFERROR(VLOOKUP(B2,'TABLEAU DE BORD'!A:G,9,FALSE),"")</f>
        <v/>
      </c>
      <c r="C5" s="58"/>
      <c r="D5" s="7" t="s">
        <v>36</v>
      </c>
      <c r="E5" s="57" t="str">
        <f ca="1">IFERROR(VLOOKUP(B2,'TABLEAU DE BORD'!A:G,8,FALSE),"")</f>
        <v/>
      </c>
      <c r="F5" s="58"/>
      <c r="G5" s="58"/>
    </row>
    <row r="6" spans="1:7" ht="20.100000000000001" customHeight="1" x14ac:dyDescent="0.25">
      <c r="A6" s="7" t="s">
        <v>37</v>
      </c>
      <c r="B6" s="57" t="str">
        <f ca="1">IFERROR(VLOOKUP(B2,'TABLEAU DE BORD'!A:G,4,FALSE),"")</f>
        <v>Innovations et technologies</v>
      </c>
      <c r="C6" s="58"/>
      <c r="D6" s="7" t="s">
        <v>111</v>
      </c>
      <c r="E6" s="57" t="str">
        <f ca="1">IFERROR(VLOOKUP(B2,'TABLEAU DE BORD'!A:G,11,FALSE),"")</f>
        <v/>
      </c>
      <c r="F6" s="58"/>
      <c r="G6" s="58"/>
    </row>
    <row r="8" spans="1:7" ht="21.95" customHeight="1" x14ac:dyDescent="0.25">
      <c r="A8" s="59" t="s">
        <v>38</v>
      </c>
      <c r="B8" s="45"/>
      <c r="C8" s="45"/>
      <c r="D8" s="45"/>
      <c r="E8" s="45"/>
      <c r="F8" s="45"/>
      <c r="G8" s="45"/>
    </row>
    <row r="9" spans="1:7" ht="20.100000000000001" customHeight="1" x14ac:dyDescent="0.25">
      <c r="A9" s="10" t="s">
        <v>39</v>
      </c>
      <c r="B9" s="10" t="s">
        <v>40</v>
      </c>
      <c r="C9" s="10" t="s">
        <v>41</v>
      </c>
      <c r="D9" s="10" t="s">
        <v>42</v>
      </c>
      <c r="E9" s="10" t="s">
        <v>105</v>
      </c>
      <c r="F9" s="10" t="s">
        <v>43</v>
      </c>
      <c r="G9" s="10" t="s">
        <v>44</v>
      </c>
    </row>
    <row r="10" spans="1:7" ht="18" customHeight="1" x14ac:dyDescent="0.2">
      <c r="A10" s="11">
        <v>1</v>
      </c>
      <c r="B10" s="21"/>
      <c r="C10" s="21"/>
      <c r="D10" s="21"/>
      <c r="E10" s="21"/>
      <c r="F10" s="11" t="s">
        <v>45</v>
      </c>
      <c r="G10" s="21"/>
    </row>
    <row r="11" spans="1:7" ht="18" customHeight="1" x14ac:dyDescent="0.2">
      <c r="A11" s="11">
        <v>2</v>
      </c>
      <c r="B11" s="21"/>
      <c r="C11" s="21"/>
      <c r="D11" s="21"/>
      <c r="E11" s="21"/>
      <c r="F11" s="11" t="s">
        <v>45</v>
      </c>
      <c r="G11" s="21"/>
    </row>
    <row r="12" spans="1:7" ht="18" customHeight="1" x14ac:dyDescent="0.2">
      <c r="A12" s="11">
        <v>3</v>
      </c>
      <c r="B12" s="21"/>
      <c r="C12" s="21"/>
      <c r="D12" s="21"/>
      <c r="E12" s="21"/>
      <c r="F12" s="11" t="s">
        <v>45</v>
      </c>
      <c r="G12" s="21"/>
    </row>
    <row r="13" spans="1:7" ht="18" customHeight="1" x14ac:dyDescent="0.2">
      <c r="A13" s="11">
        <v>4</v>
      </c>
      <c r="B13" s="21"/>
      <c r="C13" s="21"/>
      <c r="D13" s="21"/>
      <c r="E13" s="21"/>
      <c r="F13" s="11" t="s">
        <v>45</v>
      </c>
      <c r="G13" s="21"/>
    </row>
    <row r="15" spans="1:7" ht="21.95" customHeight="1" x14ac:dyDescent="0.25">
      <c r="A15" s="46" t="s">
        <v>46</v>
      </c>
      <c r="B15" s="47"/>
      <c r="C15" s="47"/>
      <c r="D15" s="47"/>
      <c r="E15" s="47"/>
      <c r="F15" s="47"/>
      <c r="G15" s="47"/>
    </row>
    <row r="16" spans="1:7" ht="20.100000000000001" customHeight="1" x14ac:dyDescent="0.25">
      <c r="A16" s="30" t="s">
        <v>47</v>
      </c>
      <c r="B16" s="25" t="s">
        <v>48</v>
      </c>
      <c r="C16" s="25" t="s">
        <v>49</v>
      </c>
      <c r="D16" s="25" t="s">
        <v>50</v>
      </c>
      <c r="E16" s="25" t="s">
        <v>51</v>
      </c>
      <c r="F16" s="25" t="s">
        <v>52</v>
      </c>
      <c r="G16" s="31" t="s">
        <v>53</v>
      </c>
    </row>
    <row r="17" spans="1:7" ht="18" customHeight="1" x14ac:dyDescent="0.2">
      <c r="A17" s="26" t="s">
        <v>54</v>
      </c>
      <c r="B17" s="13"/>
      <c r="C17" s="13"/>
      <c r="D17" s="14" t="str">
        <f t="shared" ref="D17:D27" si="0">IF(ISBLANK(C17),"",C17-B17)</f>
        <v/>
      </c>
      <c r="E17" s="12" t="s">
        <v>55</v>
      </c>
      <c r="F17" s="13" t="s">
        <v>56</v>
      </c>
      <c r="G17" s="28"/>
    </row>
    <row r="18" spans="1:7" ht="18" customHeight="1" x14ac:dyDescent="0.2">
      <c r="A18" s="27" t="s">
        <v>57</v>
      </c>
      <c r="B18" s="11"/>
      <c r="C18" s="11"/>
      <c r="D18" s="15" t="str">
        <f t="shared" si="0"/>
        <v/>
      </c>
      <c r="E18" s="21" t="s">
        <v>58</v>
      </c>
      <c r="F18" s="11" t="s">
        <v>56</v>
      </c>
      <c r="G18" s="29"/>
    </row>
    <row r="19" spans="1:7" ht="18" customHeight="1" x14ac:dyDescent="0.2">
      <c r="A19" s="26" t="s">
        <v>59</v>
      </c>
      <c r="B19" s="13"/>
      <c r="C19" s="13"/>
      <c r="D19" s="14" t="str">
        <f t="shared" si="0"/>
        <v/>
      </c>
      <c r="E19" s="12" t="s">
        <v>60</v>
      </c>
      <c r="F19" s="13" t="s">
        <v>56</v>
      </c>
      <c r="G19" s="28"/>
    </row>
    <row r="20" spans="1:7" ht="18" customHeight="1" x14ac:dyDescent="0.2">
      <c r="A20" s="27" t="s">
        <v>61</v>
      </c>
      <c r="B20" s="11"/>
      <c r="C20" s="11"/>
      <c r="D20" s="15" t="str">
        <f t="shared" si="0"/>
        <v/>
      </c>
      <c r="E20" s="21" t="s">
        <v>62</v>
      </c>
      <c r="F20" s="11" t="s">
        <v>56</v>
      </c>
      <c r="G20" s="29"/>
    </row>
    <row r="21" spans="1:7" ht="18" customHeight="1" x14ac:dyDescent="0.2">
      <c r="A21" s="26" t="s">
        <v>63</v>
      </c>
      <c r="B21" s="13"/>
      <c r="C21" s="13"/>
      <c r="D21" s="14" t="str">
        <f t="shared" si="0"/>
        <v/>
      </c>
      <c r="E21" s="12" t="s">
        <v>64</v>
      </c>
      <c r="F21" s="13" t="s">
        <v>56</v>
      </c>
      <c r="G21" s="28"/>
    </row>
    <row r="22" spans="1:7" ht="18" customHeight="1" x14ac:dyDescent="0.2">
      <c r="A22" s="27" t="s">
        <v>65</v>
      </c>
      <c r="B22" s="11"/>
      <c r="C22" s="11"/>
      <c r="D22" s="15" t="str">
        <f t="shared" si="0"/>
        <v/>
      </c>
      <c r="E22" s="21" t="s">
        <v>58</v>
      </c>
      <c r="F22" s="11" t="s">
        <v>56</v>
      </c>
      <c r="G22" s="29"/>
    </row>
    <row r="23" spans="1:7" ht="18" customHeight="1" x14ac:dyDescent="0.2">
      <c r="A23" s="26" t="s">
        <v>66</v>
      </c>
      <c r="B23" s="13"/>
      <c r="C23" s="13"/>
      <c r="D23" s="14" t="str">
        <f t="shared" si="0"/>
        <v/>
      </c>
      <c r="E23" s="12" t="s">
        <v>67</v>
      </c>
      <c r="F23" s="13" t="s">
        <v>56</v>
      </c>
      <c r="G23" s="28"/>
    </row>
    <row r="24" spans="1:7" ht="18" customHeight="1" x14ac:dyDescent="0.2">
      <c r="A24" s="27" t="s">
        <v>68</v>
      </c>
      <c r="B24" s="11"/>
      <c r="C24" s="11"/>
      <c r="D24" s="15" t="str">
        <f t="shared" si="0"/>
        <v/>
      </c>
      <c r="E24" s="21" t="s">
        <v>60</v>
      </c>
      <c r="F24" s="11" t="s">
        <v>56</v>
      </c>
      <c r="G24" s="29"/>
    </row>
    <row r="25" spans="1:7" ht="18" customHeight="1" x14ac:dyDescent="0.2">
      <c r="A25" s="26" t="s">
        <v>69</v>
      </c>
      <c r="B25" s="13"/>
      <c r="C25" s="13"/>
      <c r="D25" s="14" t="str">
        <f t="shared" si="0"/>
        <v/>
      </c>
      <c r="E25" s="12" t="s">
        <v>55</v>
      </c>
      <c r="F25" s="13" t="s">
        <v>56</v>
      </c>
      <c r="G25" s="28"/>
    </row>
    <row r="26" spans="1:7" ht="18" customHeight="1" x14ac:dyDescent="0.2">
      <c r="A26" s="27" t="s">
        <v>70</v>
      </c>
      <c r="B26" s="11"/>
      <c r="C26" s="11"/>
      <c r="D26" s="15" t="str">
        <f t="shared" si="0"/>
        <v/>
      </c>
      <c r="E26" s="21" t="s">
        <v>67</v>
      </c>
      <c r="F26" s="11" t="s">
        <v>56</v>
      </c>
      <c r="G26" s="29"/>
    </row>
    <row r="27" spans="1:7" ht="18" customHeight="1" x14ac:dyDescent="0.2">
      <c r="A27" s="32" t="s">
        <v>71</v>
      </c>
      <c r="B27" s="23"/>
      <c r="C27" s="23"/>
      <c r="D27" s="24" t="str">
        <f t="shared" si="0"/>
        <v/>
      </c>
      <c r="E27" s="22" t="s">
        <v>60</v>
      </c>
      <c r="F27" s="23" t="s">
        <v>56</v>
      </c>
      <c r="G27" s="33"/>
    </row>
    <row r="29" spans="1:7" ht="21.95" customHeight="1" x14ac:dyDescent="0.25">
      <c r="A29" s="59" t="s">
        <v>72</v>
      </c>
      <c r="B29" s="45"/>
      <c r="C29" s="45"/>
      <c r="D29" s="45"/>
      <c r="E29" s="45"/>
      <c r="F29" s="45"/>
      <c r="G29" s="45"/>
    </row>
    <row r="30" spans="1:7" ht="20.100000000000001" customHeight="1" x14ac:dyDescent="0.25">
      <c r="A30" s="10" t="s">
        <v>73</v>
      </c>
      <c r="B30" s="10" t="s">
        <v>74</v>
      </c>
      <c r="C30" s="10" t="s">
        <v>75</v>
      </c>
      <c r="D30" s="31" t="s">
        <v>76</v>
      </c>
      <c r="E30" s="34" t="s">
        <v>106</v>
      </c>
      <c r="F30" s="31" t="s">
        <v>77</v>
      </c>
      <c r="G30" s="35" t="s">
        <v>107</v>
      </c>
    </row>
    <row r="31" spans="1:7" ht="18" customHeight="1" x14ac:dyDescent="0.25">
      <c r="A31" s="21" t="s">
        <v>78</v>
      </c>
      <c r="B31" s="16" t="s">
        <v>45</v>
      </c>
      <c r="C31" s="16"/>
      <c r="D31" s="29"/>
      <c r="E31" s="36"/>
      <c r="F31" s="29" t="s">
        <v>79</v>
      </c>
      <c r="G31" s="36"/>
    </row>
    <row r="32" spans="1:7" ht="18" customHeight="1" x14ac:dyDescent="0.25">
      <c r="A32" s="21" t="s">
        <v>80</v>
      </c>
      <c r="B32" s="16" t="s">
        <v>45</v>
      </c>
      <c r="C32" s="16"/>
      <c r="D32" s="29"/>
      <c r="E32" s="36"/>
      <c r="F32" s="29" t="s">
        <v>81</v>
      </c>
      <c r="G32" s="36"/>
    </row>
    <row r="33" spans="1:7" ht="18" customHeight="1" x14ac:dyDescent="0.25">
      <c r="A33" s="21" t="s">
        <v>82</v>
      </c>
      <c r="B33" s="16" t="s">
        <v>45</v>
      </c>
      <c r="C33" s="16"/>
      <c r="D33" s="29"/>
      <c r="E33" s="36"/>
      <c r="F33" s="29" t="s">
        <v>83</v>
      </c>
      <c r="G33" s="36"/>
    </row>
    <row r="34" spans="1:7" ht="18" customHeight="1" x14ac:dyDescent="0.25">
      <c r="A34" s="21" t="s">
        <v>84</v>
      </c>
      <c r="B34" s="16" t="s">
        <v>45</v>
      </c>
      <c r="C34" s="16"/>
      <c r="D34" s="29"/>
      <c r="E34" s="36"/>
      <c r="F34" s="29" t="s">
        <v>85</v>
      </c>
      <c r="G34" s="36"/>
    </row>
    <row r="35" spans="1:7" ht="18" customHeight="1" x14ac:dyDescent="0.25">
      <c r="A35" s="21" t="s">
        <v>86</v>
      </c>
      <c r="B35" s="16" t="s">
        <v>45</v>
      </c>
      <c r="C35" s="16"/>
      <c r="D35" s="29"/>
      <c r="E35" s="36"/>
      <c r="F35" s="29" t="s">
        <v>87</v>
      </c>
      <c r="G35" s="36"/>
    </row>
    <row r="36" spans="1:7" ht="18" customHeight="1" x14ac:dyDescent="0.25">
      <c r="A36" s="21" t="s">
        <v>88</v>
      </c>
      <c r="B36" s="16" t="s">
        <v>45</v>
      </c>
      <c r="C36" s="16"/>
      <c r="D36" s="29"/>
      <c r="E36" s="36"/>
      <c r="F36" s="29" t="s">
        <v>89</v>
      </c>
      <c r="G36" s="36"/>
    </row>
    <row r="39" spans="1:7" ht="21.95" customHeight="1" x14ac:dyDescent="0.25">
      <c r="A39" s="46" t="s">
        <v>90</v>
      </c>
      <c r="B39" s="47"/>
      <c r="C39" s="47"/>
      <c r="D39" s="47"/>
      <c r="E39" s="47"/>
      <c r="F39" s="47"/>
      <c r="G39" s="47"/>
    </row>
    <row r="40" spans="1:7" ht="20.100000000000001" customHeight="1" x14ac:dyDescent="0.25">
      <c r="A40" s="30" t="s">
        <v>91</v>
      </c>
      <c r="B40" s="25" t="s">
        <v>48</v>
      </c>
      <c r="C40" s="25" t="s">
        <v>92</v>
      </c>
      <c r="D40" s="25" t="s">
        <v>93</v>
      </c>
      <c r="E40" s="25" t="s">
        <v>94</v>
      </c>
      <c r="F40" s="25" t="s">
        <v>95</v>
      </c>
      <c r="G40" s="31" t="s">
        <v>96</v>
      </c>
    </row>
    <row r="41" spans="1:7" ht="18" customHeight="1" x14ac:dyDescent="0.2">
      <c r="A41" s="27" t="s">
        <v>97</v>
      </c>
      <c r="B41" s="16"/>
      <c r="C41" s="16"/>
      <c r="D41" s="21" t="s">
        <v>55</v>
      </c>
      <c r="E41" s="21" t="s">
        <v>42</v>
      </c>
      <c r="F41" s="16" t="s">
        <v>56</v>
      </c>
      <c r="G41" s="29"/>
    </row>
    <row r="42" spans="1:7" ht="18" customHeight="1" x14ac:dyDescent="0.2">
      <c r="A42" s="27" t="s">
        <v>98</v>
      </c>
      <c r="B42" s="16"/>
      <c r="C42" s="16"/>
      <c r="D42" s="21" t="s">
        <v>55</v>
      </c>
      <c r="E42" s="21" t="s">
        <v>42</v>
      </c>
      <c r="F42" s="16" t="s">
        <v>56</v>
      </c>
      <c r="G42" s="29" t="s">
        <v>99</v>
      </c>
    </row>
    <row r="43" spans="1:7" ht="18" customHeight="1" x14ac:dyDescent="0.2">
      <c r="A43" s="27" t="s">
        <v>100</v>
      </c>
      <c r="B43" s="16"/>
      <c r="C43" s="16"/>
      <c r="D43" s="21" t="s">
        <v>55</v>
      </c>
      <c r="E43" s="21" t="s">
        <v>42</v>
      </c>
      <c r="F43" s="16" t="s">
        <v>56</v>
      </c>
      <c r="G43" s="29" t="s">
        <v>99</v>
      </c>
    </row>
    <row r="44" spans="1:7" ht="18" customHeight="1" x14ac:dyDescent="0.2">
      <c r="A44" s="38" t="s">
        <v>101</v>
      </c>
      <c r="B44" s="39"/>
      <c r="C44" s="39"/>
      <c r="D44" s="40" t="s">
        <v>102</v>
      </c>
      <c r="E44" s="40" t="s">
        <v>42</v>
      </c>
      <c r="F44" s="39" t="s">
        <v>56</v>
      </c>
      <c r="G44" s="41"/>
    </row>
    <row r="47" spans="1:7" ht="21.95" customHeight="1" x14ac:dyDescent="0.25">
      <c r="A47" s="46" t="s">
        <v>103</v>
      </c>
      <c r="B47" s="47"/>
      <c r="C47" s="47"/>
      <c r="D47" s="47"/>
      <c r="E47" s="47"/>
      <c r="F47" s="47"/>
      <c r="G47" s="47"/>
    </row>
    <row r="48" spans="1:7" x14ac:dyDescent="0.25">
      <c r="A48" s="48" t="s">
        <v>104</v>
      </c>
      <c r="B48" s="49"/>
      <c r="C48" s="49"/>
      <c r="D48" s="49"/>
      <c r="E48" s="49"/>
      <c r="F48" s="49"/>
      <c r="G48" s="50"/>
    </row>
    <row r="49" spans="1:7" x14ac:dyDescent="0.25">
      <c r="A49" s="51"/>
      <c r="B49" s="52"/>
      <c r="C49" s="52"/>
      <c r="D49" s="52"/>
      <c r="E49" s="52"/>
      <c r="F49" s="52"/>
      <c r="G49" s="53"/>
    </row>
    <row r="50" spans="1:7" x14ac:dyDescent="0.25">
      <c r="A50" s="51"/>
      <c r="B50" s="52"/>
      <c r="C50" s="52"/>
      <c r="D50" s="52"/>
      <c r="E50" s="52"/>
      <c r="F50" s="52"/>
      <c r="G50" s="53"/>
    </row>
    <row r="51" spans="1:7" x14ac:dyDescent="0.25">
      <c r="A51" s="51"/>
      <c r="B51" s="52"/>
      <c r="C51" s="52"/>
      <c r="D51" s="52"/>
      <c r="E51" s="52"/>
      <c r="F51" s="52"/>
      <c r="G51" s="53"/>
    </row>
    <row r="52" spans="1:7" x14ac:dyDescent="0.25">
      <c r="A52" s="54"/>
      <c r="B52" s="55"/>
      <c r="C52" s="55"/>
      <c r="D52" s="55"/>
      <c r="E52" s="55"/>
      <c r="F52" s="55"/>
      <c r="G52" s="56"/>
    </row>
  </sheetData>
  <mergeCells count="16">
    <mergeCell ref="A1:G1"/>
    <mergeCell ref="B2:C2"/>
    <mergeCell ref="B3:C3"/>
    <mergeCell ref="E3:G3"/>
    <mergeCell ref="B4:C4"/>
    <mergeCell ref="E4:G4"/>
    <mergeCell ref="A29:G29"/>
    <mergeCell ref="A39:G39"/>
    <mergeCell ref="A47:G47"/>
    <mergeCell ref="A48:G52"/>
    <mergeCell ref="B5:C5"/>
    <mergeCell ref="E5:G5"/>
    <mergeCell ref="B6:C6"/>
    <mergeCell ref="E6:G6"/>
    <mergeCell ref="A8:G8"/>
    <mergeCell ref="A15:G15"/>
  </mergeCells>
  <dataValidations count="6">
    <dataValidation type="list" allowBlank="1" showInputMessage="1" showErrorMessage="1" sqref="E41:E44">
      <formula1>"Email,Téléphone,Whatsapp"</formula1>
    </dataValidation>
    <dataValidation type="list" allowBlank="1" showInputMessage="1" showErrorMessage="1" sqref="D41:D44">
      <formula1>"Secrétariat,Rédacteur en chef"</formula1>
    </dataValidation>
    <dataValidation type="list" allowBlank="1" showInputMessage="1" showErrorMessage="1" sqref="B31:B37">
      <formula1>"Oui,Non"</formula1>
    </dataValidation>
    <dataValidation type="list" allowBlank="1" showInputMessage="1" showErrorMessage="1" sqref="E17:E27">
      <formula1>"Secrétariat,Rédacteur en chef,Comité éditorial,Relecteur ,Relecteur 2,Auteur correspondant"</formula1>
    </dataValidation>
    <dataValidation type="list" allowBlank="1" showInputMessage="1" showErrorMessage="1" sqref="F16:F27 F41:F44">
      <formula1>"Fait,En attente"</formula1>
    </dataValidation>
    <dataValidation type="list" allowBlank="1" sqref="E2">
      <formula1>"Nouveau, En relecture, Révision, Accepté, Publié, Rejeté"</formula1>
    </dataValidation>
  </dataValidations>
  <pageMargins left="0.7" right="0.7" top="0.75" bottom="0.75" header="0.3" footer="0.3"/>
  <pageSetup paperSize="9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TABLEAU DE BORD</vt:lpstr>
      <vt:lpstr>MODELE_ARTICLE</vt:lpstr>
      <vt:lpstr>REV-2026-001</vt:lpstr>
      <vt:lpstr>MODELE_ARTICLE!Impression_des_titres</vt:lpstr>
      <vt:lpstr>'REV-2026-001'!Impression_des_titres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2026-08-19T08:24:21Z</cp:lastPrinted>
  <dcterms:created xsi:type="dcterms:W3CDTF">2026-08-17T10:04:15Z</dcterms:created>
  <dcterms:modified xsi:type="dcterms:W3CDTF">2026-08-20T08:03:44Z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23b81241e40040338d8d8f95cdc05caa_23</vt:lpwstr>
  </property>
</Properties>
</file>